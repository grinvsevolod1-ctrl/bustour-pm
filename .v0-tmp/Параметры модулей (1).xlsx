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Горящие туры" sheetId="1" r:id="rId1"/>
    <sheet name="Минимальные цены" sheetId="2" r:id="rId2"/>
    <sheet name="Календарь туров" sheetId="3" r:id="rId3"/>
    <sheet name="Каталог стран и отелей" sheetId="4" r:id="rId4"/>
  </sheets>
  <calcPr calcId="144525"/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13" i="4"/>
  <c r="D14" i="4"/>
  <c r="D15" i="4"/>
  <c r="D2" i="3"/>
  <c r="D3" i="3"/>
  <c r="D13" i="3"/>
  <c r="D20" i="3"/>
  <c r="D27" i="3"/>
  <c r="D34" i="3"/>
  <c r="D35" i="3"/>
  <c r="D36" i="3"/>
  <c r="D2" i="2"/>
  <c r="D3" i="2"/>
  <c r="D13" i="2"/>
  <c r="D16" i="2"/>
  <c r="D18" i="2"/>
  <c r="D33" i="2"/>
  <c r="D35" i="2"/>
  <c r="D37" i="2"/>
  <c r="D38" i="2"/>
  <c r="D47" i="2"/>
  <c r="D63" i="2"/>
  <c r="D68" i="2"/>
  <c r="D69" i="2"/>
  <c r="D70" i="2"/>
  <c r="D78" i="2"/>
</calcChain>
</file>

<file path=xl/sharedStrings.xml><?xml version="1.0" encoding="utf-8"?>
<sst xmlns="http://schemas.openxmlformats.org/spreadsheetml/2006/main" count="395" uniqueCount="201">
  <si>
    <t>Параметр</t>
  </si>
  <si>
    <t>Значение</t>
  </si>
  <si>
    <t>tv-borderwidth</t>
  </si>
  <si>
    <t>number</t>
  </si>
  <si>
    <t>tv-countries или tv-country</t>
  </si>
  <si>
    <t>string</t>
  </si>
  <si>
    <t>tv-currency</t>
  </si>
  <si>
    <t>tv-datefrom</t>
  </si>
  <si>
    <t>tv-dateto</t>
  </si>
  <si>
    <t>tv-departure,</t>
  </si>
  <si>
    <t>tv-departure2</t>
  </si>
  <si>
    <t>tv-discount</t>
  </si>
  <si>
    <t>tv-imgpos</t>
  </si>
  <si>
    <t>tv-ismobile или tv-modeview</t>
  </si>
  <si>
    <t>tv-load-mode</t>
  </si>
  <si>
    <t>tv-maxprice</t>
  </si>
  <si>
    <t>tv-minprice</t>
  </si>
  <si>
    <t>tv-operatorsfilter</t>
  </si>
  <si>
    <t>tv-rating</t>
  </si>
  <si>
    <t>tv-regular</t>
  </si>
  <si>
    <t>tv-resorts</t>
  </si>
  <si>
    <t>tv-rows</t>
  </si>
  <si>
    <t>tv-showfilter</t>
  </si>
  <si>
    <t>tv-sortby</t>
  </si>
  <si>
    <t>tv-spacing</t>
  </si>
  <si>
    <t>tv-stars</t>
  </si>
  <si>
    <t>tv-theme</t>
  </si>
  <si>
    <t>tv-useslide</t>
  </si>
  <si>
    <t>boolean</t>
  </si>
  <si>
    <t>tv-view</t>
  </si>
  <si>
    <t>tv-visa</t>
  </si>
  <si>
    <t>tv-width</t>
  </si>
  <si>
    <t>number, auto</t>
  </si>
  <si>
    <t>Ширина границы блока</t>
  </si>
  <si>
    <t>Список стран, если нужно ограничить (стока с id стран через запятую)</t>
  </si>
  <si>
    <t>Доступные значение</t>
  </si>
  <si>
    <t>Город вылета</t>
  </si>
  <si>
    <t>Минимальное значение скидки при котором нужно показывать маркер скидок</t>
  </si>
  <si>
    <t>Доступные значения</t>
  </si>
  <si>
    <t>None = 0, Top = 1, Middle = 2, Bottom = 3</t>
  </si>
  <si>
    <t>Адаптивность модуля</t>
  </si>
  <si>
    <t>0 - DescTop</t>
  </si>
  <si>
    <t>1 - Mobile</t>
  </si>
  <si>
    <t>2 - Adaptive </t>
  </si>
  <si>
    <t>Способы дозагрузки элементов</t>
  </si>
  <si>
    <t>0 - Отключена</t>
  </si>
  <si>
    <t>2 - Скроллом</t>
  </si>
  <si>
    <t>Бюджет. Максимальная цена. Минимальная цена</t>
  </si>
  <si>
    <t>Туроператоры (стока с id туроператоров через запятую)</t>
  </si>
  <si>
    <t>Рейтинг отеля</t>
  </si>
  <si>
    <t>Регулярные рейсы.</t>
  </si>
  <si>
    <t>1 - Скрыть (только чартер)</t>
  </si>
  <si>
    <t>2 - Отобразить (все рейсы)</t>
  </si>
  <si>
    <t>Список курортов (стока с id курортов через запятую)</t>
  </si>
  <si>
    <t>Количество отображаемых строк</t>
  </si>
  <si>
    <t>Показывать фильтр</t>
  </si>
  <si>
    <t>0 - не отображать</t>
  </si>
  <si>
    <t>1 - отображать</t>
  </si>
  <si>
    <t>1 - По полезности</t>
  </si>
  <si>
    <t>2 - По цене</t>
  </si>
  <si>
    <t>Отступы между блоками модуля</t>
  </si>
  <si>
    <t>Звёздность отеля (от 1 до 5)</t>
  </si>
  <si>
    <t>Тема</t>
  </si>
  <si>
    <t>Отображать в виде слайдера</t>
  </si>
  <si>
    <t>None = 0, Square = 1, Vertical = 2, Gorisontal = 3, Compact = 4, BigImage = 5</t>
  </si>
  <si>
    <t>Фильтрация по визе</t>
  </si>
  <si>
    <t>0 - и с визами, и без виз</t>
  </si>
  <si>
    <t>1 - безвизовые страны</t>
  </si>
  <si>
    <t>Ширина модуля.</t>
  </si>
  <si>
    <t>Если параметр добавлен, но значение не number, то будет выставлен auto (по ширине родителя)</t>
  </si>
  <si>
    <t>Описание</t>
  </si>
  <si>
    <t xml:space="preserve">Список стран, если нужно ограничить </t>
  </si>
  <si>
    <t>Валюта Currency</t>
  </si>
  <si>
    <t>None = -1, Rub = 0, UE = 1, BRub = 2, Tenge = 3, UAH = 4, Dollar = 5, Euro = 6</t>
  </si>
  <si>
    <t>Дата в формате dd.mm.yyyy</t>
  </si>
  <si>
    <t> Позиционирование рисунка HotImagePos</t>
  </si>
  <si>
    <t>1 - Кнопка показать ещё</t>
  </si>
  <si>
    <t>Тип сортировки стран HotSortBy</t>
  </si>
  <si>
    <r>
      <t>theme1</t>
    </r>
    <r>
      <rPr>
        <i/>
        <sz val="12"/>
        <color rgb="FF172B4D"/>
        <rFont val="Calibri"/>
        <family val="2"/>
        <charset val="204"/>
        <scheme val="minor"/>
      </rPr>
      <t> </t>
    </r>
    <r>
      <rPr>
        <sz val="12"/>
        <color rgb="FF172B4D"/>
        <rFont val="Calibri"/>
        <family val="2"/>
        <charset val="204"/>
        <scheme val="minor"/>
      </rPr>
      <t>или theme2</t>
    </r>
  </si>
  <si>
    <t>Типы компоновки HotView</t>
  </si>
  <si>
    <t>tv-departure3</t>
  </si>
  <si>
    <t>tv-countries</t>
  </si>
  <si>
    <t>tv-design</t>
  </si>
  <si>
    <t>tv-href</t>
  </si>
  <si>
    <t>tv-ismobile</t>
  </si>
  <si>
    <t>Макс и мин цена бюджета тура</t>
  </si>
  <si>
    <t>tv-nights</t>
  </si>
  <si>
    <t>Кол-во ночей</t>
  </si>
  <si>
    <t>tv-newwindow</t>
  </si>
  <si>
    <t>Запускать поиск в новой вкладке.</t>
  </si>
  <si>
    <t>tv-pricetype</t>
  </si>
  <si>
    <t>Цена за</t>
  </si>
  <si>
    <t>Значение по умолчанию:</t>
  </si>
  <si>
    <t>tv-showbutton</t>
  </si>
  <si>
    <t>Отображать кнопку “Показать все”</t>
  </si>
  <si>
    <t>Доступна для Списка и Таблицы Темы 1 и для всех представлений Темы 2, кроме Слайдера.</t>
  </si>
  <si>
    <t>Не доступен для Стандартного отображения и списка Темы 1.</t>
  </si>
  <si>
    <t>tv-showtitle</t>
  </si>
  <si>
    <t>Показывать название модуля</t>
  </si>
  <si>
    <t>Тип сортировки стран</t>
  </si>
  <si>
    <t>tv-texttitle</t>
  </si>
  <si>
    <t>Название модуля</t>
  </si>
  <si>
    <t>="0" или ="1"</t>
  </si>
  <si>
    <t>Тип отображения блоков</t>
  </si>
  <si>
    <t>Пример параметра</t>
  </si>
  <si>
    <t>MinPriceDesign</t>
  </si>
  <si>
    <t>None = 0,</t>
  </si>
  <si>
    <t>One = 1,</t>
  </si>
  <si>
    <t>Two = 2,</t>
  </si>
  <si>
    <t>Three = 3,</t>
  </si>
  <si>
    <t>Four = 4,</t>
  </si>
  <si>
    <t>Five = 5</t>
  </si>
  <si>
    <t>PriceType</t>
  </si>
  <si>
    <t>1 - ForPerson (человека)</t>
  </si>
  <si>
    <t>2- ForTour(тур)</t>
  </si>
  <si>
    <t>1 - По цене</t>
  </si>
  <si>
    <t>2 - По наименованию</t>
  </si>
  <si>
    <t>3 - По популярности</t>
  </si>
  <si>
    <t>MinPriceType</t>
  </si>
  <si>
    <t>1 - Simple (доступен только для Темы 1)</t>
  </si>
  <si>
    <t>2 - List</t>
  </si>
  <si>
    <t>3 - Table</t>
  </si>
  <si>
    <t>4 - Metro</t>
  </si>
  <si>
    <t>5 - Slider</t>
  </si>
  <si>
    <r>
      <t>None</t>
    </r>
    <r>
      <rPr>
        <sz val="12"/>
        <color rgb="FF172B4D"/>
        <rFont val="Segoe UI"/>
        <family val="2"/>
        <charset val="204"/>
      </rPr>
      <t> = -1,</t>
    </r>
  </si>
  <si>
    <r>
      <t>Rub</t>
    </r>
    <r>
      <rPr>
        <sz val="12"/>
        <color rgb="FF172B4D"/>
        <rFont val="Segoe UI"/>
        <family val="2"/>
        <charset val="204"/>
      </rPr>
      <t> = 0,</t>
    </r>
  </si>
  <si>
    <r>
      <t>UE</t>
    </r>
    <r>
      <rPr>
        <sz val="12"/>
        <color rgb="FF172B4D"/>
        <rFont val="Segoe UI"/>
        <family val="2"/>
        <charset val="204"/>
      </rPr>
      <t> = 1,</t>
    </r>
  </si>
  <si>
    <r>
      <t>BRub</t>
    </r>
    <r>
      <rPr>
        <sz val="12"/>
        <color rgb="FF172B4D"/>
        <rFont val="Segoe UI"/>
        <family val="2"/>
        <charset val="204"/>
      </rPr>
      <t> = 2,</t>
    </r>
  </si>
  <si>
    <r>
      <t>Tenge</t>
    </r>
    <r>
      <rPr>
        <sz val="12"/>
        <color rgb="FF172B4D"/>
        <rFont val="Segoe UI"/>
        <family val="2"/>
        <charset val="204"/>
      </rPr>
      <t> = 3,</t>
    </r>
  </si>
  <si>
    <r>
      <t>UAH</t>
    </r>
    <r>
      <rPr>
        <sz val="12"/>
        <color rgb="FF172B4D"/>
        <rFont val="Segoe UI"/>
        <family val="2"/>
        <charset val="204"/>
      </rPr>
      <t> = 4,</t>
    </r>
  </si>
  <si>
    <r>
      <t>Dollar</t>
    </r>
    <r>
      <rPr>
        <sz val="12"/>
        <color rgb="FF172B4D"/>
        <rFont val="Segoe UI"/>
        <family val="2"/>
        <charset val="204"/>
      </rPr>
      <t> = 5,</t>
    </r>
  </si>
  <si>
    <r>
      <t>Euro</t>
    </r>
    <r>
      <rPr>
        <sz val="12"/>
        <color rgb="FF172B4D"/>
        <rFont val="Segoe UI"/>
        <family val="2"/>
        <charset val="204"/>
      </rPr>
      <t> = 6</t>
    </r>
  </si>
  <si>
    <r>
      <t>="0"</t>
    </r>
    <r>
      <rPr>
        <sz val="12"/>
        <color rgb="FF172B4D"/>
        <rFont val="Segoe UI"/>
        <family val="2"/>
        <charset val="204"/>
      </rPr>
      <t>, </t>
    </r>
    <r>
      <rPr>
        <sz val="12"/>
        <color rgb="FF172B4D"/>
        <rFont val="Courier"/>
        <family val="1"/>
        <charset val="204"/>
      </rPr>
      <t>="1"</t>
    </r>
    <r>
      <rPr>
        <sz val="12"/>
        <color rgb="FF172B4D"/>
        <rFont val="Segoe UI"/>
        <family val="2"/>
        <charset val="204"/>
      </rPr>
      <t>, </t>
    </r>
    <r>
      <rPr>
        <sz val="12"/>
        <color rgb="FF172B4D"/>
        <rFont val="Courier"/>
        <family val="1"/>
        <charset val="204"/>
      </rPr>
      <t>="2"</t>
    </r>
  </si>
  <si>
    <r>
      <t>="0"</t>
    </r>
    <r>
      <rPr>
        <sz val="12"/>
        <color rgb="FF172B4D"/>
        <rFont val="Segoe UI"/>
        <family val="2"/>
        <charset val="204"/>
      </rPr>
      <t> или </t>
    </r>
    <r>
      <rPr>
        <sz val="12"/>
        <color rgb="FF172B4D"/>
        <rFont val="Courier"/>
        <family val="1"/>
        <charset val="204"/>
      </rPr>
      <t>="1"</t>
    </r>
  </si>
  <si>
    <r>
      <t>="1"</t>
    </r>
    <r>
      <rPr>
        <sz val="12"/>
        <color rgb="FF172B4D"/>
        <rFont val="Segoe UI"/>
        <family val="2"/>
        <charset val="204"/>
      </rPr>
      <t> или </t>
    </r>
    <r>
      <rPr>
        <sz val="12"/>
        <color rgb="FF172B4D"/>
        <rFont val="Courier"/>
        <family val="1"/>
        <charset val="204"/>
      </rPr>
      <t>="2"</t>
    </r>
  </si>
  <si>
    <r>
      <t>="500"</t>
    </r>
    <r>
      <rPr>
        <sz val="12"/>
        <color rgb="FF172B4D"/>
        <rFont val="Segoe UI"/>
        <family val="2"/>
        <charset val="204"/>
      </rPr>
      <t> или </t>
    </r>
    <r>
      <rPr>
        <sz val="12"/>
        <color rgb="FF172B4D"/>
        <rFont val="Courier"/>
        <family val="1"/>
        <charset val="204"/>
      </rPr>
      <t>="auto"</t>
    </r>
  </si>
  <si>
    <t>None = -1,</t>
  </si>
  <si>
    <t>Rub = 0,</t>
  </si>
  <si>
    <t>UE = 1,</t>
  </si>
  <si>
    <t>BRub = 2,</t>
  </si>
  <si>
    <t>Tenge = 3,</t>
  </si>
  <si>
    <t>UAH = 4,</t>
  </si>
  <si>
    <t>Dollar = 5,</t>
  </si>
  <si>
    <t>Euro = 6</t>
  </si>
  <si>
    <t>Начало и конец интервала даты вылета dd.mm.yyyy</t>
  </si>
  <si>
    <r>
      <t>Дизайн блоков. </t>
    </r>
    <r>
      <rPr>
        <sz val="12"/>
        <color rgb="FFFF5630"/>
        <rFont val="Calibri"/>
        <family val="2"/>
        <charset val="204"/>
        <scheme val="minor"/>
      </rPr>
      <t>Только для Темы 2</t>
    </r>
  </si>
  <si>
    <t>="0", ="1", ="2"</t>
  </si>
  <si>
    <t>="0" или ="1"</t>
  </si>
  <si>
    <t>="1" или ="2"</t>
  </si>
  <si>
    <r>
      <t>Metro - </t>
    </r>
    <r>
      <rPr>
        <b/>
        <sz val="12"/>
        <color rgb="FF172B4D"/>
        <rFont val="Calibri"/>
        <family val="2"/>
        <charset val="204"/>
        <scheme val="minor"/>
      </rPr>
      <t>все</t>
    </r>
  </si>
  <si>
    <r>
      <t>Table, Simple - </t>
    </r>
    <r>
      <rPr>
        <b/>
        <sz val="12"/>
        <color rgb="FF172B4D"/>
        <rFont val="Calibri"/>
        <family val="2"/>
        <charset val="204"/>
        <scheme val="minor"/>
      </rPr>
      <t>4</t>
    </r>
  </si>
  <si>
    <r>
      <t>List - </t>
    </r>
    <r>
      <rPr>
        <b/>
        <sz val="12"/>
        <color rgb="FF172B4D"/>
        <rFont val="Calibri"/>
        <family val="2"/>
        <charset val="204"/>
        <scheme val="minor"/>
      </rPr>
      <t>10</t>
    </r>
  </si>
  <si>
    <r>
      <t>Отступы между блоками модуля. </t>
    </r>
    <r>
      <rPr>
        <sz val="12"/>
        <color rgb="FFFF5630"/>
        <rFont val="Calibri"/>
        <family val="2"/>
        <charset val="204"/>
        <scheme val="minor"/>
      </rPr>
      <t>Настройка доступна для Таблицы и слайдера Темы 1 и для всех представлений Темы 2 (кроме списка).</t>
    </r>
  </si>
  <si>
    <t>="theme1" или ="theme2"</t>
  </si>
  <si>
    <t>="500" или ="auto"</t>
  </si>
  <si>
    <r>
      <t>Задает ссылку для перехода при клике. </t>
    </r>
    <r>
      <rPr>
        <sz val="12"/>
        <color rgb="FFFF5630"/>
        <rFont val="Calibri"/>
        <family val="2"/>
        <charset val="204"/>
        <scheme val="minor"/>
      </rPr>
      <t>Не работает для Темы 2</t>
    </r>
  </si>
  <si>
    <r>
      <t>Туроператоры (стока с id туроператоров через запятую) </t>
    </r>
    <r>
      <rPr>
        <sz val="12"/>
        <color rgb="FFFF5630"/>
        <rFont val="Calibri"/>
        <family val="2"/>
        <charset val="204"/>
        <scheme val="minor"/>
      </rPr>
      <t>(Не учитываются в ссылках на поиск)</t>
    </r>
  </si>
  <si>
    <t>(Работает только для 2х представлений Темы1)</t>
  </si>
  <si>
    <t>number[]</t>
  </si>
  <si>
    <t>Выбранные страны</t>
  </si>
  <si>
    <t>Валюта тура</t>
  </si>
  <si>
    <t>tv-departure</t>
  </si>
  <si>
    <t>tv-moduleid</t>
  </si>
  <si>
    <t>class="tv-calendar tv-moduleid-1"</t>
  </si>
  <si>
    <t>ID модуля</t>
  </si>
  <si>
    <t>Количество строк элементов</t>
  </si>
  <si>
    <t>Если - 0, значит показывать все страны</t>
  </si>
  <si>
    <t>Звездность отелей (от 1 до 5)</t>
  </si>
  <si>
    <t>tv-unique</t>
  </si>
  <si>
    <t>0 - Все страны</t>
  </si>
  <si>
    <t>1 - Только уникальные</t>
  </si>
  <si>
    <r>
      <t>number | </t>
    </r>
    <r>
      <rPr>
        <sz val="12"/>
        <color rgb="FF172B4D"/>
        <rFont val="Courier"/>
        <family val="1"/>
        <charset val="204"/>
      </rPr>
      <t>'auto'</t>
    </r>
  </si>
  <si>
    <t xml:space="preserve"> </t>
  </si>
  <si>
    <r>
      <t>Только уникальные страны.</t>
    </r>
    <r>
      <rPr>
        <sz val="12"/>
        <color rgb="FFFF5630"/>
        <rFont val="Segoe UI"/>
        <family val="2"/>
        <charset val="204"/>
      </rPr>
      <t> для 2 городов вылета</t>
    </r>
  </si>
  <si>
    <t>Список выбранных стран</t>
  </si>
  <si>
    <t>tv-country</t>
  </si>
  <si>
    <t>Выбранная страна</t>
  </si>
  <si>
    <t>Город вылета.</t>
  </si>
  <si>
    <t>tv-hotel</t>
  </si>
  <si>
    <t>Выбранный отель</t>
  </si>
  <si>
    <t>tv-hotels</t>
  </si>
  <si>
    <t>Список выбранных отелей</t>
  </si>
  <si>
    <t>tv-period</t>
  </si>
  <si>
    <t>Выбранный период</t>
  </si>
  <si>
    <t>0 - ближайшие даты</t>
  </si>
  <si>
    <t>1-12 - январь - декабрь</t>
  </si>
  <si>
    <t>13 - новогодние праздники</t>
  </si>
  <si>
    <t>14 - майские праздники</t>
  </si>
  <si>
    <t>tv-resort</t>
  </si>
  <si>
    <t>Выбранный курорт</t>
  </si>
  <si>
    <t>Список выбранных курортов</t>
  </si>
  <si>
    <t>tv-type</t>
  </si>
  <si>
    <t>Выбранная страница каталога</t>
  </si>
  <si>
    <t>Ширина модуля</t>
  </si>
  <si>
    <r>
      <t>Список стран - </t>
    </r>
    <r>
      <rPr>
        <sz val="12"/>
        <color rgb="FF172B4D"/>
        <rFont val="Courier"/>
        <family val="1"/>
        <charset val="204"/>
      </rPr>
      <t>countrylist</t>
    </r>
  </si>
  <si>
    <r>
      <t>Страна - </t>
    </r>
    <r>
      <rPr>
        <sz val="12"/>
        <color rgb="FF172B4D"/>
        <rFont val="Courier"/>
        <family val="1"/>
        <charset val="204"/>
      </rPr>
      <t>country</t>
    </r>
  </si>
  <si>
    <r>
      <t>Список курортов - </t>
    </r>
    <r>
      <rPr>
        <sz val="12"/>
        <color rgb="FF172B4D"/>
        <rFont val="Courier"/>
        <family val="1"/>
        <charset val="204"/>
      </rPr>
      <t>regionlist</t>
    </r>
  </si>
  <si>
    <r>
      <t>Курорт - </t>
    </r>
    <r>
      <rPr>
        <sz val="12"/>
        <color rgb="FF172B4D"/>
        <rFont val="Courier"/>
        <family val="1"/>
        <charset val="204"/>
      </rPr>
      <t>region</t>
    </r>
  </si>
  <si>
    <r>
      <t>Список отелей - </t>
    </r>
    <r>
      <rPr>
        <sz val="12"/>
        <color rgb="FF172B4D"/>
        <rFont val="Courier"/>
        <family val="1"/>
        <charset val="204"/>
      </rPr>
      <t>hotellist</t>
    </r>
  </si>
  <si>
    <r>
      <t>Отель - </t>
    </r>
    <r>
      <rPr>
        <sz val="12"/>
        <color rgb="FF172B4D"/>
        <rFont val="Courier"/>
        <family val="1"/>
        <charset val="204"/>
      </rPr>
      <t>hotel</t>
    </r>
  </si>
  <si>
    <t>Запускать поиск в новой вкладке. (если на текущей странице есть поисковая форма)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</si>
</sst>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rgb="FF172B4D"/>
      <name val="Calibri"/>
      <family val="2"/>
      <charset val="204"/>
      <scheme val="minor"/>
    </font>
    <font>
      <i/>
      <sz val="12"/>
      <color rgb="FF172B4D"/>
      <name val="Calibri"/>
      <family val="2"/>
      <charset val="204"/>
      <scheme val="minor"/>
    </font>
    <font>
      <sz val="12"/>
      <color rgb="FF0052CC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color rgb="FF172B4D"/>
      <name val="Courier"/>
      <family val="1"/>
      <charset val="204"/>
    </font>
    <font>
      <i/>
      <sz val="12"/>
      <color rgb="FF172B4D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52CC"/>
      <name val="Segoe UI"/>
      <family val="2"/>
      <charset val="204"/>
    </font>
    <font>
      <sz val="12"/>
      <color rgb="FFFF5630"/>
      <name val="Segoe UI"/>
      <family val="2"/>
      <charset val="204"/>
    </font>
    <font>
      <sz val="12"/>
      <color rgb="FFFF5630"/>
      <name val="Calibri"/>
      <family val="2"/>
      <charset val="204"/>
      <scheme val="minor"/>
    </font>
    <font>
      <b/>
      <sz val="12"/>
      <color rgb="FF172B4D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/>
      <diagonal/>
    </border>
    <border>
      <left style="medium">
        <color rgb="FFC1C7D0"/>
      </left>
      <right style="medium">
        <color rgb="FFC1C7D0"/>
      </right>
      <top/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5" fillId="2" borderId="4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12" fillId="2" borderId="3" xfId="0" applyFont="1" applyFill="1" applyBorder="1" applyAlignment="1">
      <alignment horizontal="left" vertical="center" wrapText="1" indent="1"/>
    </xf>
    <xf numFmtId="0" fontId="2" fillId="0" borderId="0" xfId="0" applyFont="1"/>
    <xf numFmtId="0" fontId="1" fillId="0" borderId="0" xfId="0" applyFont="1" applyAlignment="1"/>
    <xf numFmtId="0" fontId="2" fillId="0" borderId="0" xfId="0" applyFont="1" applyAlignment="1"/>
    <xf numFmtId="0" fontId="6" fillId="0" borderId="0" xfId="0" applyFont="1" applyAlignme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6" fillId="0" borderId="0" xfId="0" applyFont="1" applyAlignment="1">
      <alignment horizontal="left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top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9" fillId="2" borderId="2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center" vertical="top" wrapText="1"/>
    </xf>
    <xf numFmtId="0" fontId="9" fillId="2" borderId="3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abSelected="1" workbookViewId="0">
      <selection activeCell="D7" sqref="D7:D8"/>
    </sheetView>
  </sheetViews>
  <sheetFormatPr defaultRowHeight="15.75" x14ac:dyDescent="0.25"/>
  <cols>
    <col min="1" max="1" width="4.5703125" style="60" bestFit="1" customWidth="1"/>
    <col min="2" max="2" width="21.7109375" style="3" customWidth="1"/>
    <col min="3" max="3" width="12.85546875" style="3" customWidth="1"/>
    <col min="4" max="4" width="48" style="3" customWidth="1"/>
    <col min="5" max="16384" width="9.140625" style="3"/>
  </cols>
  <sheetData>
    <row r="1" spans="1:4" ht="16.5" thickBot="1" x14ac:dyDescent="0.3">
      <c r="B1" s="2" t="s">
        <v>0</v>
      </c>
      <c r="C1" s="2" t="s">
        <v>1</v>
      </c>
      <c r="D1" s="2" t="s">
        <v>70</v>
      </c>
    </row>
    <row r="2" spans="1:4" ht="16.5" thickBot="1" x14ac:dyDescent="0.3">
      <c r="A2" s="60">
        <v>1</v>
      </c>
      <c r="B2" s="4" t="s">
        <v>2</v>
      </c>
      <c r="C2" s="5" t="s">
        <v>3</v>
      </c>
      <c r="D2" s="4" t="s">
        <v>33</v>
      </c>
    </row>
    <row r="3" spans="1:4" ht="32.25" thickBot="1" x14ac:dyDescent="0.3">
      <c r="A3" s="61">
        <v>2</v>
      </c>
      <c r="B3" s="4" t="s">
        <v>4</v>
      </c>
      <c r="C3" s="5" t="s">
        <v>5</v>
      </c>
      <c r="D3" s="4" t="s">
        <v>71</v>
      </c>
    </row>
    <row r="4" spans="1:4" x14ac:dyDescent="0.25">
      <c r="A4" s="62">
        <v>3</v>
      </c>
      <c r="B4" s="7" t="s">
        <v>6</v>
      </c>
      <c r="C4" s="8" t="s">
        <v>3</v>
      </c>
      <c r="D4" s="9" t="s">
        <v>72</v>
      </c>
    </row>
    <row r="5" spans="1:4" x14ac:dyDescent="0.25">
      <c r="A5" s="63"/>
      <c r="B5" s="10"/>
      <c r="C5" s="11"/>
      <c r="D5" s="12" t="s">
        <v>35</v>
      </c>
    </row>
    <row r="6" spans="1:4" ht="32.25" thickBot="1" x14ac:dyDescent="0.3">
      <c r="A6" s="64"/>
      <c r="B6" s="13"/>
      <c r="C6" s="14"/>
      <c r="D6" s="15" t="s">
        <v>73</v>
      </c>
    </row>
    <row r="7" spans="1:4" x14ac:dyDescent="0.25">
      <c r="A7" s="62">
        <v>4</v>
      </c>
      <c r="B7" s="9" t="s">
        <v>7</v>
      </c>
      <c r="C7" s="8" t="s">
        <v>5</v>
      </c>
      <c r="D7" s="7" t="s">
        <v>74</v>
      </c>
    </row>
    <row r="8" spans="1:4" ht="16.5" thickBot="1" x14ac:dyDescent="0.3">
      <c r="A8" s="64"/>
      <c r="B8" s="15" t="s">
        <v>8</v>
      </c>
      <c r="C8" s="14"/>
      <c r="D8" s="13"/>
    </row>
    <row r="9" spans="1:4" x14ac:dyDescent="0.25">
      <c r="A9" s="62">
        <v>5</v>
      </c>
      <c r="B9" s="9" t="s">
        <v>9</v>
      </c>
      <c r="C9" s="8" t="s">
        <v>3</v>
      </c>
      <c r="D9" s="7" t="s">
        <v>36</v>
      </c>
    </row>
    <row r="10" spans="1:4" x14ac:dyDescent="0.25">
      <c r="A10" s="63"/>
      <c r="B10" s="16" t="s">
        <v>10</v>
      </c>
      <c r="C10" s="11"/>
      <c r="D10" s="10"/>
    </row>
    <row r="11" spans="1:4" ht="16.5" thickBot="1" x14ac:dyDescent="0.3">
      <c r="A11" s="64"/>
      <c r="B11" s="15" t="s">
        <v>80</v>
      </c>
      <c r="C11" s="14"/>
      <c r="D11" s="13"/>
    </row>
    <row r="12" spans="1:4" ht="32.25" thickBot="1" x14ac:dyDescent="0.3">
      <c r="A12" s="61">
        <v>6</v>
      </c>
      <c r="B12" s="4" t="s">
        <v>11</v>
      </c>
      <c r="C12" s="5" t="s">
        <v>3</v>
      </c>
      <c r="D12" s="4" t="s">
        <v>37</v>
      </c>
    </row>
    <row r="13" spans="1:4" x14ac:dyDescent="0.25">
      <c r="A13" s="62">
        <v>7</v>
      </c>
      <c r="B13" s="7" t="s">
        <v>12</v>
      </c>
      <c r="C13" s="8" t="s">
        <v>3</v>
      </c>
      <c r="D13" s="9" t="s">
        <v>75</v>
      </c>
    </row>
    <row r="14" spans="1:4" x14ac:dyDescent="0.25">
      <c r="A14" s="63"/>
      <c r="B14" s="10"/>
      <c r="C14" s="11"/>
      <c r="D14" s="12" t="s">
        <v>38</v>
      </c>
    </row>
    <row r="15" spans="1:4" ht="16.5" thickBot="1" x14ac:dyDescent="0.3">
      <c r="A15" s="64"/>
      <c r="B15" s="13"/>
      <c r="C15" s="14"/>
      <c r="D15" s="15" t="s">
        <v>39</v>
      </c>
    </row>
    <row r="16" spans="1:4" x14ac:dyDescent="0.25">
      <c r="A16" s="62">
        <v>8</v>
      </c>
      <c r="B16" s="7" t="s">
        <v>13</v>
      </c>
      <c r="C16" s="8" t="s">
        <v>3</v>
      </c>
      <c r="D16" s="9" t="s">
        <v>40</v>
      </c>
    </row>
    <row r="17" spans="1:4" x14ac:dyDescent="0.25">
      <c r="A17" s="63"/>
      <c r="B17" s="10"/>
      <c r="C17" s="11"/>
      <c r="D17" s="12" t="s">
        <v>38</v>
      </c>
    </row>
    <row r="18" spans="1:4" x14ac:dyDescent="0.25">
      <c r="A18" s="63"/>
      <c r="B18" s="10"/>
      <c r="C18" s="11"/>
      <c r="D18" s="16" t="s">
        <v>41</v>
      </c>
    </row>
    <row r="19" spans="1:4" x14ac:dyDescent="0.25">
      <c r="A19" s="63"/>
      <c r="B19" s="10"/>
      <c r="C19" s="11"/>
      <c r="D19" s="16" t="s">
        <v>42</v>
      </c>
    </row>
    <row r="20" spans="1:4" ht="16.5" thickBot="1" x14ac:dyDescent="0.3">
      <c r="A20" s="64"/>
      <c r="B20" s="13"/>
      <c r="C20" s="14"/>
      <c r="D20" s="15" t="s">
        <v>43</v>
      </c>
    </row>
    <row r="21" spans="1:4" x14ac:dyDescent="0.25">
      <c r="A21" s="62">
        <v>9</v>
      </c>
      <c r="B21" s="7" t="s">
        <v>14</v>
      </c>
      <c r="C21" s="7" t="s">
        <v>3</v>
      </c>
      <c r="D21" s="9" t="s">
        <v>44</v>
      </c>
    </row>
    <row r="22" spans="1:4" x14ac:dyDescent="0.25">
      <c r="A22" s="63"/>
      <c r="B22" s="10"/>
      <c r="C22" s="10"/>
      <c r="D22" s="12" t="s">
        <v>38</v>
      </c>
    </row>
    <row r="23" spans="1:4" x14ac:dyDescent="0.25">
      <c r="A23" s="63"/>
      <c r="B23" s="10"/>
      <c r="C23" s="10"/>
      <c r="D23" s="16" t="s">
        <v>45</v>
      </c>
    </row>
    <row r="24" spans="1:4" x14ac:dyDescent="0.25">
      <c r="A24" s="63"/>
      <c r="B24" s="10"/>
      <c r="C24" s="10"/>
      <c r="D24" s="16" t="s">
        <v>76</v>
      </c>
    </row>
    <row r="25" spans="1:4" ht="15" customHeight="1" thickBot="1" x14ac:dyDescent="0.3">
      <c r="A25" s="64"/>
      <c r="B25" s="13"/>
      <c r="C25" s="13"/>
      <c r="D25" s="15" t="s">
        <v>46</v>
      </c>
    </row>
    <row r="26" spans="1:4" ht="32.25" customHeight="1" x14ac:dyDescent="0.25">
      <c r="A26" s="62">
        <v>10</v>
      </c>
      <c r="B26" s="9" t="s">
        <v>15</v>
      </c>
      <c r="C26" s="8" t="s">
        <v>3</v>
      </c>
      <c r="D26" s="7" t="s">
        <v>47</v>
      </c>
    </row>
    <row r="27" spans="1:4" ht="16.5" thickBot="1" x14ac:dyDescent="0.3">
      <c r="A27" s="64"/>
      <c r="B27" s="15" t="s">
        <v>16</v>
      </c>
      <c r="C27" s="14"/>
      <c r="D27" s="13"/>
    </row>
    <row r="28" spans="1:4" ht="32.25" thickBot="1" x14ac:dyDescent="0.3">
      <c r="A28" s="61">
        <v>11</v>
      </c>
      <c r="B28" s="4" t="s">
        <v>17</v>
      </c>
      <c r="C28" s="5" t="s">
        <v>5</v>
      </c>
      <c r="D28" s="4" t="s">
        <v>48</v>
      </c>
    </row>
    <row r="29" spans="1:4" ht="16.5" thickBot="1" x14ac:dyDescent="0.3">
      <c r="A29" s="61">
        <v>12</v>
      </c>
      <c r="B29" s="4" t="s">
        <v>18</v>
      </c>
      <c r="C29" s="5" t="s">
        <v>3</v>
      </c>
      <c r="D29" s="4" t="s">
        <v>49</v>
      </c>
    </row>
    <row r="30" spans="1:4" x14ac:dyDescent="0.25">
      <c r="A30" s="62">
        <v>13</v>
      </c>
      <c r="B30" s="7" t="s">
        <v>19</v>
      </c>
      <c r="C30" s="8" t="s">
        <v>3</v>
      </c>
      <c r="D30" s="9" t="s">
        <v>50</v>
      </c>
    </row>
    <row r="31" spans="1:4" x14ac:dyDescent="0.25">
      <c r="A31" s="63"/>
      <c r="B31" s="10"/>
      <c r="C31" s="11"/>
      <c r="D31" s="12" t="s">
        <v>35</v>
      </c>
    </row>
    <row r="32" spans="1:4" x14ac:dyDescent="0.25">
      <c r="A32" s="63"/>
      <c r="B32" s="10"/>
      <c r="C32" s="11"/>
      <c r="D32" s="16" t="s">
        <v>51</v>
      </c>
    </row>
    <row r="33" spans="1:4" ht="16.5" thickBot="1" x14ac:dyDescent="0.3">
      <c r="A33" s="64"/>
      <c r="B33" s="13"/>
      <c r="C33" s="14"/>
      <c r="D33" s="15" t="s">
        <v>52</v>
      </c>
    </row>
    <row r="34" spans="1:4" ht="32.25" thickBot="1" x14ac:dyDescent="0.3">
      <c r="A34" s="61">
        <v>14</v>
      </c>
      <c r="B34" s="4" t="s">
        <v>20</v>
      </c>
      <c r="C34" s="5" t="s">
        <v>5</v>
      </c>
      <c r="D34" s="4" t="s">
        <v>53</v>
      </c>
    </row>
    <row r="35" spans="1:4" ht="16.5" thickBot="1" x14ac:dyDescent="0.3">
      <c r="A35" s="61">
        <v>15</v>
      </c>
      <c r="B35" s="4" t="s">
        <v>21</v>
      </c>
      <c r="C35" s="5" t="s">
        <v>3</v>
      </c>
      <c r="D35" s="4" t="s">
        <v>54</v>
      </c>
    </row>
    <row r="36" spans="1:4" x14ac:dyDescent="0.25">
      <c r="A36" s="62">
        <v>16</v>
      </c>
      <c r="B36" s="7" t="s">
        <v>22</v>
      </c>
      <c r="C36" s="8" t="s">
        <v>3</v>
      </c>
      <c r="D36" s="9" t="s">
        <v>55</v>
      </c>
    </row>
    <row r="37" spans="1:4" x14ac:dyDescent="0.25">
      <c r="A37" s="63"/>
      <c r="B37" s="10"/>
      <c r="C37" s="11"/>
      <c r="D37" s="12" t="s">
        <v>38</v>
      </c>
    </row>
    <row r="38" spans="1:4" x14ac:dyDescent="0.25">
      <c r="A38" s="63"/>
      <c r="B38" s="10"/>
      <c r="C38" s="11"/>
      <c r="D38" s="16" t="s">
        <v>56</v>
      </c>
    </row>
    <row r="39" spans="1:4" ht="16.5" thickBot="1" x14ac:dyDescent="0.3">
      <c r="A39" s="64"/>
      <c r="B39" s="13"/>
      <c r="C39" s="14"/>
      <c r="D39" s="15" t="s">
        <v>57</v>
      </c>
    </row>
    <row r="40" spans="1:4" x14ac:dyDescent="0.25">
      <c r="A40" s="62">
        <v>17</v>
      </c>
      <c r="B40" s="7" t="s">
        <v>23</v>
      </c>
      <c r="C40" s="8" t="s">
        <v>3</v>
      </c>
      <c r="D40" s="9" t="s">
        <v>77</v>
      </c>
    </row>
    <row r="41" spans="1:4" x14ac:dyDescent="0.25">
      <c r="A41" s="63"/>
      <c r="B41" s="10"/>
      <c r="C41" s="11"/>
      <c r="D41" s="12" t="s">
        <v>38</v>
      </c>
    </row>
    <row r="42" spans="1:4" x14ac:dyDescent="0.25">
      <c r="A42" s="63"/>
      <c r="B42" s="10"/>
      <c r="C42" s="11"/>
      <c r="D42" s="16" t="s">
        <v>58</v>
      </c>
    </row>
    <row r="43" spans="1:4" ht="16.5" thickBot="1" x14ac:dyDescent="0.3">
      <c r="A43" s="64"/>
      <c r="B43" s="13"/>
      <c r="C43" s="14"/>
      <c r="D43" s="15" t="s">
        <v>59</v>
      </c>
    </row>
    <row r="44" spans="1:4" ht="16.5" thickBot="1" x14ac:dyDescent="0.3">
      <c r="A44" s="61">
        <v>18</v>
      </c>
      <c r="B44" s="4" t="s">
        <v>24</v>
      </c>
      <c r="C44" s="5" t="s">
        <v>3</v>
      </c>
      <c r="D44" s="4" t="s">
        <v>60</v>
      </c>
    </row>
    <row r="45" spans="1:4" ht="16.5" thickBot="1" x14ac:dyDescent="0.3">
      <c r="A45" s="61">
        <v>19</v>
      </c>
      <c r="B45" s="4" t="s">
        <v>25</v>
      </c>
      <c r="C45" s="5" t="s">
        <v>3</v>
      </c>
      <c r="D45" s="4" t="s">
        <v>61</v>
      </c>
    </row>
    <row r="46" spans="1:4" x14ac:dyDescent="0.25">
      <c r="A46" s="62">
        <v>20</v>
      </c>
      <c r="B46" s="7" t="s">
        <v>26</v>
      </c>
      <c r="C46" s="8" t="s">
        <v>5</v>
      </c>
      <c r="D46" s="9" t="s">
        <v>62</v>
      </c>
    </row>
    <row r="47" spans="1:4" x14ac:dyDescent="0.25">
      <c r="A47" s="63"/>
      <c r="B47" s="10"/>
      <c r="C47" s="11"/>
      <c r="D47" s="12" t="s">
        <v>38</v>
      </c>
    </row>
    <row r="48" spans="1:4" ht="16.5" thickBot="1" x14ac:dyDescent="0.3">
      <c r="A48" s="64"/>
      <c r="B48" s="13"/>
      <c r="C48" s="14"/>
      <c r="D48" s="15" t="s">
        <v>78</v>
      </c>
    </row>
    <row r="49" spans="1:4" ht="16.5" thickBot="1" x14ac:dyDescent="0.3">
      <c r="A49" s="61">
        <v>21</v>
      </c>
      <c r="B49" s="4" t="s">
        <v>27</v>
      </c>
      <c r="C49" s="5" t="s">
        <v>28</v>
      </c>
      <c r="D49" s="4" t="s">
        <v>63</v>
      </c>
    </row>
    <row r="50" spans="1:4" x14ac:dyDescent="0.25">
      <c r="A50" s="62">
        <v>22</v>
      </c>
      <c r="B50" s="7" t="s">
        <v>29</v>
      </c>
      <c r="C50" s="8" t="s">
        <v>3</v>
      </c>
      <c r="D50" s="9" t="s">
        <v>79</v>
      </c>
    </row>
    <row r="51" spans="1:4" x14ac:dyDescent="0.25">
      <c r="A51" s="63"/>
      <c r="B51" s="10"/>
      <c r="C51" s="11"/>
      <c r="D51" s="12" t="s">
        <v>38</v>
      </c>
    </row>
    <row r="52" spans="1:4" ht="32.25" thickBot="1" x14ac:dyDescent="0.3">
      <c r="A52" s="64"/>
      <c r="B52" s="13"/>
      <c r="C52" s="14"/>
      <c r="D52" s="15" t="s">
        <v>64</v>
      </c>
    </row>
    <row r="53" spans="1:4" x14ac:dyDescent="0.25">
      <c r="A53" s="62">
        <v>23</v>
      </c>
      <c r="B53" s="7" t="s">
        <v>30</v>
      </c>
      <c r="C53" s="8" t="s">
        <v>3</v>
      </c>
      <c r="D53" s="9" t="s">
        <v>65</v>
      </c>
    </row>
    <row r="54" spans="1:4" x14ac:dyDescent="0.25">
      <c r="A54" s="63"/>
      <c r="B54" s="10"/>
      <c r="C54" s="11"/>
      <c r="D54" s="12" t="s">
        <v>38</v>
      </c>
    </row>
    <row r="55" spans="1:4" x14ac:dyDescent="0.25">
      <c r="A55" s="63"/>
      <c r="B55" s="10"/>
      <c r="C55" s="11"/>
      <c r="D55" s="16" t="s">
        <v>66</v>
      </c>
    </row>
    <row r="56" spans="1:4" ht="16.5" thickBot="1" x14ac:dyDescent="0.3">
      <c r="A56" s="64"/>
      <c r="B56" s="13"/>
      <c r="C56" s="14"/>
      <c r="D56" s="15" t="s">
        <v>67</v>
      </c>
    </row>
    <row r="57" spans="1:4" x14ac:dyDescent="0.25">
      <c r="A57" s="62">
        <v>24</v>
      </c>
      <c r="B57" s="7" t="s">
        <v>31</v>
      </c>
      <c r="C57" s="8" t="s">
        <v>32</v>
      </c>
      <c r="D57" s="9" t="s">
        <v>68</v>
      </c>
    </row>
    <row r="58" spans="1:4" ht="48" thickBot="1" x14ac:dyDescent="0.3">
      <c r="A58" s="64"/>
      <c r="B58" s="13"/>
      <c r="C58" s="14"/>
      <c r="D58" s="17" t="s">
        <v>69</v>
      </c>
    </row>
  </sheetData>
  <mergeCells count="42">
    <mergeCell ref="A57:A58"/>
    <mergeCell ref="B57:B58"/>
    <mergeCell ref="C57:C58"/>
    <mergeCell ref="B40:B43"/>
    <mergeCell ref="C40:C43"/>
    <mergeCell ref="A46:A48"/>
    <mergeCell ref="B46:B48"/>
    <mergeCell ref="C46:C48"/>
    <mergeCell ref="A50:A52"/>
    <mergeCell ref="B50:B52"/>
    <mergeCell ref="C50:C52"/>
    <mergeCell ref="C21:C25"/>
    <mergeCell ref="A26:A27"/>
    <mergeCell ref="C26:C27"/>
    <mergeCell ref="D26:D27"/>
    <mergeCell ref="A30:A33"/>
    <mergeCell ref="B30:B33"/>
    <mergeCell ref="C30:C33"/>
    <mergeCell ref="A4:A6"/>
    <mergeCell ref="B4:B6"/>
    <mergeCell ref="C4:C6"/>
    <mergeCell ref="A13:A15"/>
    <mergeCell ref="B13:B15"/>
    <mergeCell ref="C13:C15"/>
    <mergeCell ref="A16:A20"/>
    <mergeCell ref="A53:A56"/>
    <mergeCell ref="B53:B56"/>
    <mergeCell ref="C53:C56"/>
    <mergeCell ref="A36:A39"/>
    <mergeCell ref="B36:B39"/>
    <mergeCell ref="C36:C39"/>
    <mergeCell ref="A40:A43"/>
    <mergeCell ref="B16:B20"/>
    <mergeCell ref="C16:C20"/>
    <mergeCell ref="A21:A25"/>
    <mergeCell ref="B21:B25"/>
    <mergeCell ref="D7:D8"/>
    <mergeCell ref="D9:D11"/>
    <mergeCell ref="A7:A8"/>
    <mergeCell ref="C7:C8"/>
    <mergeCell ref="A9:A11"/>
    <mergeCell ref="C9:C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workbookViewId="0">
      <selection activeCell="C18" sqref="C18:C26"/>
    </sheetView>
  </sheetViews>
  <sheetFormatPr defaultRowHeight="15.75" x14ac:dyDescent="0.25"/>
  <cols>
    <col min="1" max="1" width="3.28515625" style="60" bestFit="1" customWidth="1"/>
    <col min="2" max="2" width="22.140625" style="3" customWidth="1"/>
    <col min="3" max="3" width="12.7109375" style="3" customWidth="1"/>
    <col min="4" max="4" width="27.42578125" style="3" bestFit="1" customWidth="1"/>
    <col min="5" max="5" width="41.7109375" style="3" customWidth="1"/>
    <col min="6" max="16384" width="9.140625" style="3"/>
  </cols>
  <sheetData>
    <row r="1" spans="1:5" ht="16.5" thickBot="1" x14ac:dyDescent="0.3">
      <c r="B1" s="2" t="s">
        <v>0</v>
      </c>
      <c r="C1" s="2" t="s">
        <v>1</v>
      </c>
      <c r="D1" s="19" t="s">
        <v>104</v>
      </c>
      <c r="E1" s="2" t="s">
        <v>70</v>
      </c>
    </row>
    <row r="2" spans="1:5" ht="32.25" thickBot="1" x14ac:dyDescent="0.3">
      <c r="A2" s="60">
        <v>1</v>
      </c>
      <c r="B2" s="4" t="s">
        <v>81</v>
      </c>
      <c r="C2" s="5" t="s">
        <v>5</v>
      </c>
      <c r="D2" s="4" t="str">
        <f>"4,47"</f>
        <v>4,47</v>
      </c>
      <c r="E2" s="4" t="s">
        <v>34</v>
      </c>
    </row>
    <row r="3" spans="1:5" x14ac:dyDescent="0.25">
      <c r="A3" s="62">
        <v>2</v>
      </c>
      <c r="B3" s="7" t="s">
        <v>6</v>
      </c>
      <c r="C3" s="8" t="s">
        <v>3</v>
      </c>
      <c r="D3" s="7" t="str">
        <f>"3"</f>
        <v>3</v>
      </c>
      <c r="E3" s="9" t="s">
        <v>72</v>
      </c>
    </row>
    <row r="4" spans="1:5" x14ac:dyDescent="0.25">
      <c r="A4" s="63"/>
      <c r="B4" s="10"/>
      <c r="C4" s="11"/>
      <c r="D4" s="10"/>
      <c r="E4" s="12" t="s">
        <v>35</v>
      </c>
    </row>
    <row r="5" spans="1:5" x14ac:dyDescent="0.25">
      <c r="A5" s="63"/>
      <c r="B5" s="10"/>
      <c r="C5" s="11"/>
      <c r="D5" s="10"/>
      <c r="E5" s="16" t="s">
        <v>136</v>
      </c>
    </row>
    <row r="6" spans="1:5" x14ac:dyDescent="0.25">
      <c r="A6" s="63"/>
      <c r="B6" s="10"/>
      <c r="C6" s="11"/>
      <c r="D6" s="10"/>
      <c r="E6" s="16" t="s">
        <v>137</v>
      </c>
    </row>
    <row r="7" spans="1:5" x14ac:dyDescent="0.25">
      <c r="A7" s="63"/>
      <c r="B7" s="10"/>
      <c r="C7" s="11"/>
      <c r="D7" s="10"/>
      <c r="E7" s="16" t="s">
        <v>138</v>
      </c>
    </row>
    <row r="8" spans="1:5" x14ac:dyDescent="0.25">
      <c r="A8" s="63"/>
      <c r="B8" s="10"/>
      <c r="C8" s="11"/>
      <c r="D8" s="10"/>
      <c r="E8" s="16" t="s">
        <v>139</v>
      </c>
    </row>
    <row r="9" spans="1:5" x14ac:dyDescent="0.25">
      <c r="A9" s="63"/>
      <c r="B9" s="10"/>
      <c r="C9" s="11"/>
      <c r="D9" s="10"/>
      <c r="E9" s="16" t="s">
        <v>140</v>
      </c>
    </row>
    <row r="10" spans="1:5" x14ac:dyDescent="0.25">
      <c r="A10" s="63"/>
      <c r="B10" s="10"/>
      <c r="C10" s="11"/>
      <c r="D10" s="10"/>
      <c r="E10" s="16" t="s">
        <v>141</v>
      </c>
    </row>
    <row r="11" spans="1:5" x14ac:dyDescent="0.25">
      <c r="A11" s="63"/>
      <c r="B11" s="10"/>
      <c r="C11" s="11"/>
      <c r="D11" s="10"/>
      <c r="E11" s="16" t="s">
        <v>142</v>
      </c>
    </row>
    <row r="12" spans="1:5" ht="16.5" thickBot="1" x14ac:dyDescent="0.3">
      <c r="A12" s="64"/>
      <c r="B12" s="13"/>
      <c r="C12" s="14"/>
      <c r="D12" s="13"/>
      <c r="E12" s="15" t="s">
        <v>143</v>
      </c>
    </row>
    <row r="13" spans="1:5" x14ac:dyDescent="0.25">
      <c r="A13" s="62">
        <v>3</v>
      </c>
      <c r="B13" s="9" t="s">
        <v>9</v>
      </c>
      <c r="C13" s="8" t="s">
        <v>3</v>
      </c>
      <c r="D13" s="7" t="str">
        <f>"1"</f>
        <v>1</v>
      </c>
      <c r="E13" s="7" t="s">
        <v>36</v>
      </c>
    </row>
    <row r="14" spans="1:5" x14ac:dyDescent="0.25">
      <c r="A14" s="63"/>
      <c r="B14" s="16" t="s">
        <v>10</v>
      </c>
      <c r="C14" s="11"/>
      <c r="D14" s="10"/>
      <c r="E14" s="10"/>
    </row>
    <row r="15" spans="1:5" ht="16.5" thickBot="1" x14ac:dyDescent="0.3">
      <c r="A15" s="64"/>
      <c r="B15" s="15" t="s">
        <v>10</v>
      </c>
      <c r="C15" s="14"/>
      <c r="D15" s="13"/>
      <c r="E15" s="13"/>
    </row>
    <row r="16" spans="1:5" x14ac:dyDescent="0.25">
      <c r="A16" s="62">
        <v>4</v>
      </c>
      <c r="B16" s="9" t="s">
        <v>7</v>
      </c>
      <c r="C16" s="8" t="s">
        <v>5</v>
      </c>
      <c r="D16" s="7" t="str">
        <f>"01.01.2021"</f>
        <v>01.01.2021</v>
      </c>
      <c r="E16" s="7" t="s">
        <v>144</v>
      </c>
    </row>
    <row r="17" spans="1:5" ht="16.5" thickBot="1" x14ac:dyDescent="0.3">
      <c r="A17" s="64"/>
      <c r="B17" s="15" t="s">
        <v>8</v>
      </c>
      <c r="C17" s="14"/>
      <c r="D17" s="13"/>
      <c r="E17" s="13"/>
    </row>
    <row r="18" spans="1:5" x14ac:dyDescent="0.25">
      <c r="A18" s="62">
        <v>5</v>
      </c>
      <c r="B18" s="7" t="s">
        <v>82</v>
      </c>
      <c r="C18" s="8" t="s">
        <v>3</v>
      </c>
      <c r="D18" s="7" t="str">
        <f>"1"</f>
        <v>1</v>
      </c>
      <c r="E18" s="9" t="s">
        <v>145</v>
      </c>
    </row>
    <row r="19" spans="1:5" x14ac:dyDescent="0.25">
      <c r="A19" s="63"/>
      <c r="B19" s="10"/>
      <c r="C19" s="11"/>
      <c r="D19" s="10"/>
      <c r="E19" s="12" t="s">
        <v>38</v>
      </c>
    </row>
    <row r="20" spans="1:5" x14ac:dyDescent="0.25">
      <c r="A20" s="63"/>
      <c r="B20" s="10"/>
      <c r="C20" s="11"/>
      <c r="D20" s="10"/>
      <c r="E20" s="16" t="s">
        <v>105</v>
      </c>
    </row>
    <row r="21" spans="1:5" x14ac:dyDescent="0.25">
      <c r="A21" s="63"/>
      <c r="B21" s="10"/>
      <c r="C21" s="11"/>
      <c r="D21" s="10"/>
      <c r="E21" s="16" t="s">
        <v>106</v>
      </c>
    </row>
    <row r="22" spans="1:5" x14ac:dyDescent="0.25">
      <c r="A22" s="63"/>
      <c r="B22" s="10"/>
      <c r="C22" s="11"/>
      <c r="D22" s="10"/>
      <c r="E22" s="16" t="s">
        <v>107</v>
      </c>
    </row>
    <row r="23" spans="1:5" x14ac:dyDescent="0.25">
      <c r="A23" s="63"/>
      <c r="B23" s="10"/>
      <c r="C23" s="11"/>
      <c r="D23" s="10"/>
      <c r="E23" s="16" t="s">
        <v>108</v>
      </c>
    </row>
    <row r="24" spans="1:5" x14ac:dyDescent="0.25">
      <c r="A24" s="63"/>
      <c r="B24" s="10"/>
      <c r="C24" s="11"/>
      <c r="D24" s="10"/>
      <c r="E24" s="16" t="s">
        <v>109</v>
      </c>
    </row>
    <row r="25" spans="1:5" x14ac:dyDescent="0.25">
      <c r="A25" s="63"/>
      <c r="B25" s="10"/>
      <c r="C25" s="11"/>
      <c r="D25" s="10"/>
      <c r="E25" s="16" t="s">
        <v>110</v>
      </c>
    </row>
    <row r="26" spans="1:5" ht="16.5" thickBot="1" x14ac:dyDescent="0.3">
      <c r="A26" s="64"/>
      <c r="B26" s="13"/>
      <c r="C26" s="14"/>
      <c r="D26" s="13"/>
      <c r="E26" s="15" t="s">
        <v>111</v>
      </c>
    </row>
    <row r="27" spans="1:5" ht="32.25" thickBot="1" x14ac:dyDescent="0.3">
      <c r="A27" s="61">
        <v>6</v>
      </c>
      <c r="B27" s="4" t="s">
        <v>83</v>
      </c>
      <c r="C27" s="5" t="s">
        <v>5</v>
      </c>
      <c r="D27" s="6"/>
      <c r="E27" s="4" t="s">
        <v>155</v>
      </c>
    </row>
    <row r="28" spans="1:5" x14ac:dyDescent="0.25">
      <c r="A28" s="62">
        <v>7</v>
      </c>
      <c r="B28" s="7" t="s">
        <v>84</v>
      </c>
      <c r="C28" s="8" t="s">
        <v>3</v>
      </c>
      <c r="D28" s="7" t="s">
        <v>146</v>
      </c>
      <c r="E28" s="9" t="s">
        <v>40</v>
      </c>
    </row>
    <row r="29" spans="1:5" x14ac:dyDescent="0.25">
      <c r="A29" s="63"/>
      <c r="B29" s="10"/>
      <c r="C29" s="11"/>
      <c r="D29" s="10"/>
      <c r="E29" s="12" t="s">
        <v>38</v>
      </c>
    </row>
    <row r="30" spans="1:5" x14ac:dyDescent="0.25">
      <c r="A30" s="63"/>
      <c r="B30" s="10"/>
      <c r="C30" s="11"/>
      <c r="D30" s="10"/>
      <c r="E30" s="16" t="s">
        <v>41</v>
      </c>
    </row>
    <row r="31" spans="1:5" x14ac:dyDescent="0.25">
      <c r="A31" s="63"/>
      <c r="B31" s="10"/>
      <c r="C31" s="11"/>
      <c r="D31" s="10"/>
      <c r="E31" s="16" t="s">
        <v>42</v>
      </c>
    </row>
    <row r="32" spans="1:5" ht="16.5" thickBot="1" x14ac:dyDescent="0.3">
      <c r="A32" s="64"/>
      <c r="B32" s="13"/>
      <c r="C32" s="14"/>
      <c r="D32" s="13"/>
      <c r="E32" s="15" t="s">
        <v>43</v>
      </c>
    </row>
    <row r="33" spans="1:5" x14ac:dyDescent="0.25">
      <c r="A33" s="62">
        <v>8</v>
      </c>
      <c r="B33" s="9" t="s">
        <v>15</v>
      </c>
      <c r="C33" s="8" t="s">
        <v>3</v>
      </c>
      <c r="D33" s="7" t="str">
        <f>"1000"</f>
        <v>1000</v>
      </c>
      <c r="E33" s="7" t="s">
        <v>85</v>
      </c>
    </row>
    <row r="34" spans="1:5" ht="16.5" thickBot="1" x14ac:dyDescent="0.3">
      <c r="A34" s="64"/>
      <c r="B34" s="15" t="s">
        <v>16</v>
      </c>
      <c r="C34" s="14"/>
      <c r="D34" s="13"/>
      <c r="E34" s="13"/>
    </row>
    <row r="35" spans="1:5" ht="16.5" thickBot="1" x14ac:dyDescent="0.3">
      <c r="A35" s="61">
        <v>9</v>
      </c>
      <c r="B35" s="4" t="s">
        <v>86</v>
      </c>
      <c r="C35" s="5" t="s">
        <v>5</v>
      </c>
      <c r="D35" s="4" t="str">
        <f>"7,16"</f>
        <v>7,16</v>
      </c>
      <c r="E35" s="4" t="s">
        <v>87</v>
      </c>
    </row>
    <row r="36" spans="1:5" ht="16.5" thickBot="1" x14ac:dyDescent="0.3">
      <c r="A36" s="61">
        <v>10</v>
      </c>
      <c r="B36" s="4" t="s">
        <v>88</v>
      </c>
      <c r="C36" s="5" t="s">
        <v>3</v>
      </c>
      <c r="D36" s="4" t="s">
        <v>147</v>
      </c>
      <c r="E36" s="4" t="s">
        <v>89</v>
      </c>
    </row>
    <row r="37" spans="1:5" ht="48" thickBot="1" x14ac:dyDescent="0.3">
      <c r="A37" s="61">
        <v>11</v>
      </c>
      <c r="B37" s="4" t="s">
        <v>17</v>
      </c>
      <c r="C37" s="5" t="s">
        <v>5</v>
      </c>
      <c r="D37" s="4" t="str">
        <f>"1,2"</f>
        <v>1,2</v>
      </c>
      <c r="E37" s="4" t="s">
        <v>156</v>
      </c>
    </row>
    <row r="38" spans="1:5" x14ac:dyDescent="0.25">
      <c r="A38" s="62">
        <v>12</v>
      </c>
      <c r="B38" s="7" t="s">
        <v>90</v>
      </c>
      <c r="C38" s="8" t="s">
        <v>3</v>
      </c>
      <c r="D38" s="7" t="str">
        <f>"1"</f>
        <v>1</v>
      </c>
      <c r="E38" s="9" t="s">
        <v>91</v>
      </c>
    </row>
    <row r="39" spans="1:5" x14ac:dyDescent="0.25">
      <c r="A39" s="63"/>
      <c r="B39" s="10"/>
      <c r="C39" s="11"/>
      <c r="D39" s="10"/>
      <c r="E39" s="12" t="s">
        <v>38</v>
      </c>
    </row>
    <row r="40" spans="1:5" x14ac:dyDescent="0.25">
      <c r="A40" s="63"/>
      <c r="B40" s="10"/>
      <c r="C40" s="11"/>
      <c r="D40" s="10"/>
      <c r="E40" s="16" t="s">
        <v>112</v>
      </c>
    </row>
    <row r="41" spans="1:5" x14ac:dyDescent="0.25">
      <c r="A41" s="63"/>
      <c r="B41" s="10"/>
      <c r="C41" s="11"/>
      <c r="D41" s="10"/>
      <c r="E41" s="16" t="s">
        <v>113</v>
      </c>
    </row>
    <row r="42" spans="1:5" x14ac:dyDescent="0.25">
      <c r="A42" s="63"/>
      <c r="B42" s="10"/>
      <c r="C42" s="11"/>
      <c r="D42" s="10"/>
      <c r="E42" s="16" t="s">
        <v>114</v>
      </c>
    </row>
    <row r="43" spans="1:5" ht="32.25" thickBot="1" x14ac:dyDescent="0.3">
      <c r="A43" s="64"/>
      <c r="B43" s="13"/>
      <c r="C43" s="14"/>
      <c r="D43" s="13"/>
      <c r="E43" s="18" t="s">
        <v>157</v>
      </c>
    </row>
    <row r="44" spans="1:5" x14ac:dyDescent="0.25">
      <c r="A44" s="62">
        <v>13</v>
      </c>
      <c r="B44" s="7" t="s">
        <v>19</v>
      </c>
      <c r="C44" s="8" t="s">
        <v>3</v>
      </c>
      <c r="D44" s="7" t="s">
        <v>148</v>
      </c>
      <c r="E44" s="9" t="s">
        <v>50</v>
      </c>
    </row>
    <row r="45" spans="1:5" x14ac:dyDescent="0.25">
      <c r="A45" s="63"/>
      <c r="B45" s="10"/>
      <c r="C45" s="11"/>
      <c r="D45" s="10"/>
      <c r="E45" s="16" t="s">
        <v>51</v>
      </c>
    </row>
    <row r="46" spans="1:5" ht="16.5" thickBot="1" x14ac:dyDescent="0.3">
      <c r="A46" s="64"/>
      <c r="B46" s="13"/>
      <c r="C46" s="14"/>
      <c r="D46" s="13"/>
      <c r="E46" s="15" t="s">
        <v>52</v>
      </c>
    </row>
    <row r="47" spans="1:5" x14ac:dyDescent="0.25">
      <c r="A47" s="62">
        <v>14</v>
      </c>
      <c r="B47" s="7" t="s">
        <v>21</v>
      </c>
      <c r="C47" s="8" t="s">
        <v>3</v>
      </c>
      <c r="D47" s="7" t="str">
        <f>"10"</f>
        <v>10</v>
      </c>
      <c r="E47" s="9" t="s">
        <v>54</v>
      </c>
    </row>
    <row r="48" spans="1:5" x14ac:dyDescent="0.25">
      <c r="A48" s="63"/>
      <c r="B48" s="10"/>
      <c r="C48" s="11"/>
      <c r="D48" s="10"/>
      <c r="E48" s="12" t="s">
        <v>92</v>
      </c>
    </row>
    <row r="49" spans="1:5" x14ac:dyDescent="0.25">
      <c r="A49" s="63"/>
      <c r="B49" s="10"/>
      <c r="C49" s="11"/>
      <c r="D49" s="10"/>
      <c r="E49" s="16" t="s">
        <v>149</v>
      </c>
    </row>
    <row r="50" spans="1:5" x14ac:dyDescent="0.25">
      <c r="A50" s="63"/>
      <c r="B50" s="10"/>
      <c r="C50" s="11"/>
      <c r="D50" s="10"/>
      <c r="E50" s="16" t="s">
        <v>150</v>
      </c>
    </row>
    <row r="51" spans="1:5" ht="16.5" thickBot="1" x14ac:dyDescent="0.3">
      <c r="A51" s="64"/>
      <c r="B51" s="13"/>
      <c r="C51" s="14"/>
      <c r="D51" s="13"/>
      <c r="E51" s="15" t="s">
        <v>151</v>
      </c>
    </row>
    <row r="52" spans="1:5" x14ac:dyDescent="0.25">
      <c r="A52" s="62">
        <v>15</v>
      </c>
      <c r="B52" s="7" t="s">
        <v>93</v>
      </c>
      <c r="C52" s="8" t="s">
        <v>3</v>
      </c>
      <c r="D52" s="7" t="s">
        <v>147</v>
      </c>
      <c r="E52" s="9" t="s">
        <v>94</v>
      </c>
    </row>
    <row r="53" spans="1:5" x14ac:dyDescent="0.25">
      <c r="A53" s="63"/>
      <c r="B53" s="10"/>
      <c r="C53" s="11"/>
      <c r="D53" s="10"/>
      <c r="E53" s="12" t="s">
        <v>38</v>
      </c>
    </row>
    <row r="54" spans="1:5" x14ac:dyDescent="0.25">
      <c r="A54" s="63"/>
      <c r="B54" s="10"/>
      <c r="C54" s="11"/>
      <c r="D54" s="10"/>
      <c r="E54" s="16" t="s">
        <v>56</v>
      </c>
    </row>
    <row r="55" spans="1:5" x14ac:dyDescent="0.25">
      <c r="A55" s="63"/>
      <c r="B55" s="10"/>
      <c r="C55" s="11"/>
      <c r="D55" s="10"/>
      <c r="E55" s="16" t="s">
        <v>57</v>
      </c>
    </row>
    <row r="56" spans="1:5" ht="48" thickBot="1" x14ac:dyDescent="0.3">
      <c r="A56" s="64"/>
      <c r="B56" s="13"/>
      <c r="C56" s="14"/>
      <c r="D56" s="13"/>
      <c r="E56" s="18" t="s">
        <v>95</v>
      </c>
    </row>
    <row r="57" spans="1:5" x14ac:dyDescent="0.25">
      <c r="A57" s="62">
        <v>16</v>
      </c>
      <c r="B57" s="7" t="s">
        <v>22</v>
      </c>
      <c r="C57" s="8" t="s">
        <v>3</v>
      </c>
      <c r="D57" s="7" t="s">
        <v>147</v>
      </c>
      <c r="E57" s="9" t="s">
        <v>55</v>
      </c>
    </row>
    <row r="58" spans="1:5" x14ac:dyDescent="0.25">
      <c r="A58" s="63"/>
      <c r="B58" s="10"/>
      <c r="C58" s="11"/>
      <c r="D58" s="10"/>
      <c r="E58" s="12" t="s">
        <v>38</v>
      </c>
    </row>
    <row r="59" spans="1:5" x14ac:dyDescent="0.25">
      <c r="A59" s="63"/>
      <c r="B59" s="10"/>
      <c r="C59" s="11"/>
      <c r="D59" s="10"/>
      <c r="E59" s="16" t="s">
        <v>56</v>
      </c>
    </row>
    <row r="60" spans="1:5" x14ac:dyDescent="0.25">
      <c r="A60" s="63"/>
      <c r="B60" s="10"/>
      <c r="C60" s="11"/>
      <c r="D60" s="10"/>
      <c r="E60" s="16" t="s">
        <v>57</v>
      </c>
    </row>
    <row r="61" spans="1:5" ht="32.25" thickBot="1" x14ac:dyDescent="0.3">
      <c r="A61" s="64"/>
      <c r="B61" s="13"/>
      <c r="C61" s="14"/>
      <c r="D61" s="13"/>
      <c r="E61" s="18" t="s">
        <v>96</v>
      </c>
    </row>
    <row r="62" spans="1:5" ht="16.5" thickBot="1" x14ac:dyDescent="0.3">
      <c r="A62" s="61">
        <v>17</v>
      </c>
      <c r="B62" s="4" t="s">
        <v>97</v>
      </c>
      <c r="C62" s="5" t="s">
        <v>3</v>
      </c>
      <c r="D62" s="4" t="s">
        <v>147</v>
      </c>
      <c r="E62" s="4" t="s">
        <v>98</v>
      </c>
    </row>
    <row r="63" spans="1:5" x14ac:dyDescent="0.25">
      <c r="A63" s="62">
        <v>18</v>
      </c>
      <c r="B63" s="7" t="s">
        <v>23</v>
      </c>
      <c r="C63" s="8" t="s">
        <v>3</v>
      </c>
      <c r="D63" s="7" t="str">
        <f>"1"</f>
        <v>1</v>
      </c>
      <c r="E63" s="9" t="s">
        <v>99</v>
      </c>
    </row>
    <row r="64" spans="1:5" x14ac:dyDescent="0.25">
      <c r="A64" s="63"/>
      <c r="B64" s="10"/>
      <c r="C64" s="11"/>
      <c r="D64" s="10"/>
      <c r="E64" s="12" t="s">
        <v>38</v>
      </c>
    </row>
    <row r="65" spans="1:5" x14ac:dyDescent="0.25">
      <c r="A65" s="63"/>
      <c r="B65" s="10"/>
      <c r="C65" s="11"/>
      <c r="D65" s="10"/>
      <c r="E65" s="16" t="s">
        <v>115</v>
      </c>
    </row>
    <row r="66" spans="1:5" x14ac:dyDescent="0.25">
      <c r="A66" s="63"/>
      <c r="B66" s="10"/>
      <c r="C66" s="11"/>
      <c r="D66" s="10"/>
      <c r="E66" s="16" t="s">
        <v>116</v>
      </c>
    </row>
    <row r="67" spans="1:5" ht="16.5" thickBot="1" x14ac:dyDescent="0.3">
      <c r="A67" s="64"/>
      <c r="B67" s="13"/>
      <c r="C67" s="14"/>
      <c r="D67" s="13"/>
      <c r="E67" s="15" t="s">
        <v>117</v>
      </c>
    </row>
    <row r="68" spans="1:5" ht="79.5" thickBot="1" x14ac:dyDescent="0.3">
      <c r="A68" s="61">
        <v>19</v>
      </c>
      <c r="B68" s="4" t="s">
        <v>24</v>
      </c>
      <c r="C68" s="5" t="s">
        <v>3</v>
      </c>
      <c r="D68" s="4" t="str">
        <f>"10"</f>
        <v>10</v>
      </c>
      <c r="E68" s="4" t="s">
        <v>152</v>
      </c>
    </row>
    <row r="69" spans="1:5" ht="16.5" thickBot="1" x14ac:dyDescent="0.3">
      <c r="A69" s="61">
        <v>20</v>
      </c>
      <c r="B69" s="4" t="s">
        <v>25</v>
      </c>
      <c r="C69" s="5" t="s">
        <v>3</v>
      </c>
      <c r="D69" s="4" t="str">
        <f>"3"</f>
        <v>3</v>
      </c>
      <c r="E69" s="4" t="s">
        <v>61</v>
      </c>
    </row>
    <row r="70" spans="1:5" ht="16.5" thickBot="1" x14ac:dyDescent="0.3">
      <c r="A70" s="61">
        <v>21</v>
      </c>
      <c r="B70" s="4" t="s">
        <v>100</v>
      </c>
      <c r="C70" s="5" t="s">
        <v>5</v>
      </c>
      <c r="D70" s="4" t="str">
        <f>"Заголовок"</f>
        <v>Заголовок</v>
      </c>
      <c r="E70" s="4" t="s">
        <v>101</v>
      </c>
    </row>
    <row r="71" spans="1:5" x14ac:dyDescent="0.25">
      <c r="A71" s="62">
        <v>22</v>
      </c>
      <c r="B71" s="7" t="s">
        <v>26</v>
      </c>
      <c r="C71" s="8" t="s">
        <v>5</v>
      </c>
      <c r="D71" s="7" t="s">
        <v>153</v>
      </c>
      <c r="E71" s="9" t="s">
        <v>62</v>
      </c>
    </row>
    <row r="72" spans="1:5" x14ac:dyDescent="0.25">
      <c r="A72" s="63"/>
      <c r="B72" s="10"/>
      <c r="C72" s="11"/>
      <c r="D72" s="10"/>
      <c r="E72" s="12" t="s">
        <v>38</v>
      </c>
    </row>
    <row r="73" spans="1:5" ht="16.5" thickBot="1" x14ac:dyDescent="0.3">
      <c r="A73" s="64"/>
      <c r="B73" s="13"/>
      <c r="C73" s="14"/>
      <c r="D73" s="13"/>
      <c r="E73" s="15" t="s">
        <v>78</v>
      </c>
    </row>
    <row r="74" spans="1:5" x14ac:dyDescent="0.25">
      <c r="A74" s="62">
        <v>23</v>
      </c>
      <c r="B74" s="7" t="s">
        <v>30</v>
      </c>
      <c r="C74" s="8" t="s">
        <v>3</v>
      </c>
      <c r="D74" s="7" t="s">
        <v>102</v>
      </c>
      <c r="E74" s="9" t="s">
        <v>65</v>
      </c>
    </row>
    <row r="75" spans="1:5" x14ac:dyDescent="0.25">
      <c r="A75" s="63"/>
      <c r="B75" s="10"/>
      <c r="C75" s="11"/>
      <c r="D75" s="10"/>
      <c r="E75" s="12" t="s">
        <v>38</v>
      </c>
    </row>
    <row r="76" spans="1:5" x14ac:dyDescent="0.25">
      <c r="A76" s="63"/>
      <c r="B76" s="10"/>
      <c r="C76" s="11"/>
      <c r="D76" s="10"/>
      <c r="E76" s="16" t="s">
        <v>66</v>
      </c>
    </row>
    <row r="77" spans="1:5" ht="16.5" thickBot="1" x14ac:dyDescent="0.3">
      <c r="A77" s="64"/>
      <c r="B77" s="13"/>
      <c r="C77" s="14"/>
      <c r="D77" s="13"/>
      <c r="E77" s="15" t="s">
        <v>67</v>
      </c>
    </row>
    <row r="78" spans="1:5" x14ac:dyDescent="0.25">
      <c r="A78" s="62">
        <v>24</v>
      </c>
      <c r="B78" s="7" t="s">
        <v>29</v>
      </c>
      <c r="C78" s="8" t="s">
        <v>3</v>
      </c>
      <c r="D78" s="7" t="str">
        <f>"1"</f>
        <v>1</v>
      </c>
      <c r="E78" s="9" t="s">
        <v>103</v>
      </c>
    </row>
    <row r="79" spans="1:5" x14ac:dyDescent="0.25">
      <c r="A79" s="63"/>
      <c r="B79" s="10"/>
      <c r="C79" s="11"/>
      <c r="D79" s="10"/>
      <c r="E79" s="12" t="s">
        <v>38</v>
      </c>
    </row>
    <row r="80" spans="1:5" x14ac:dyDescent="0.25">
      <c r="A80" s="63"/>
      <c r="B80" s="10"/>
      <c r="C80" s="11"/>
      <c r="D80" s="10"/>
      <c r="E80" s="16" t="s">
        <v>118</v>
      </c>
    </row>
    <row r="81" spans="1:5" ht="31.5" x14ac:dyDescent="0.25">
      <c r="A81" s="63"/>
      <c r="B81" s="10"/>
      <c r="C81" s="11"/>
      <c r="D81" s="10"/>
      <c r="E81" s="16" t="s">
        <v>119</v>
      </c>
    </row>
    <row r="82" spans="1:5" x14ac:dyDescent="0.25">
      <c r="A82" s="63"/>
      <c r="B82" s="10"/>
      <c r="C82" s="11"/>
      <c r="D82" s="10"/>
      <c r="E82" s="16" t="s">
        <v>120</v>
      </c>
    </row>
    <row r="83" spans="1:5" x14ac:dyDescent="0.25">
      <c r="A83" s="63"/>
      <c r="B83" s="10"/>
      <c r="C83" s="11"/>
      <c r="D83" s="10"/>
      <c r="E83" s="16" t="s">
        <v>121</v>
      </c>
    </row>
    <row r="84" spans="1:5" x14ac:dyDescent="0.25">
      <c r="A84" s="63"/>
      <c r="B84" s="10"/>
      <c r="C84" s="11"/>
      <c r="D84" s="10"/>
      <c r="E84" s="16" t="s">
        <v>122</v>
      </c>
    </row>
    <row r="85" spans="1:5" ht="16.5" thickBot="1" x14ac:dyDescent="0.3">
      <c r="A85" s="64"/>
      <c r="B85" s="13"/>
      <c r="C85" s="14"/>
      <c r="D85" s="13"/>
      <c r="E85" s="15" t="s">
        <v>123</v>
      </c>
    </row>
    <row r="86" spans="1:5" x14ac:dyDescent="0.25">
      <c r="A86" s="62">
        <v>25</v>
      </c>
      <c r="B86" s="7" t="s">
        <v>31</v>
      </c>
      <c r="C86" s="8" t="s">
        <v>32</v>
      </c>
      <c r="D86" s="7" t="s">
        <v>154</v>
      </c>
      <c r="E86" s="9" t="s">
        <v>68</v>
      </c>
    </row>
    <row r="87" spans="1:5" ht="48" thickBot="1" x14ac:dyDescent="0.3">
      <c r="A87" s="64"/>
      <c r="B87" s="13"/>
      <c r="C87" s="14"/>
      <c r="D87" s="13"/>
      <c r="E87" s="18" t="s">
        <v>69</v>
      </c>
    </row>
  </sheetData>
  <mergeCells count="64">
    <mergeCell ref="A78:A85"/>
    <mergeCell ref="B78:B85"/>
    <mergeCell ref="C78:C85"/>
    <mergeCell ref="D78:D85"/>
    <mergeCell ref="A86:A87"/>
    <mergeCell ref="B86:B87"/>
    <mergeCell ref="C86:C87"/>
    <mergeCell ref="D86:D87"/>
    <mergeCell ref="A71:A73"/>
    <mergeCell ref="B71:B73"/>
    <mergeCell ref="C71:C73"/>
    <mergeCell ref="D71:D73"/>
    <mergeCell ref="A74:A77"/>
    <mergeCell ref="B74:B77"/>
    <mergeCell ref="C74:C77"/>
    <mergeCell ref="D74:D77"/>
    <mergeCell ref="A57:A61"/>
    <mergeCell ref="B57:B61"/>
    <mergeCell ref="C57:C61"/>
    <mergeCell ref="D57:D61"/>
    <mergeCell ref="A63:A67"/>
    <mergeCell ref="B63:B67"/>
    <mergeCell ref="C63:C67"/>
    <mergeCell ref="D63:D67"/>
    <mergeCell ref="D44:D46"/>
    <mergeCell ref="A47:A51"/>
    <mergeCell ref="B47:B51"/>
    <mergeCell ref="C47:C51"/>
    <mergeCell ref="D47:D51"/>
    <mergeCell ref="A52:A56"/>
    <mergeCell ref="B52:B56"/>
    <mergeCell ref="C52:C56"/>
    <mergeCell ref="D52:D56"/>
    <mergeCell ref="C33:C34"/>
    <mergeCell ref="D33:D34"/>
    <mergeCell ref="E33:E34"/>
    <mergeCell ref="A38:A43"/>
    <mergeCell ref="B38:B43"/>
    <mergeCell ref="C38:C43"/>
    <mergeCell ref="D38:D43"/>
    <mergeCell ref="A3:A12"/>
    <mergeCell ref="B3:B12"/>
    <mergeCell ref="C3:C12"/>
    <mergeCell ref="D3:D12"/>
    <mergeCell ref="A13:A15"/>
    <mergeCell ref="C13:C15"/>
    <mergeCell ref="D13:D15"/>
    <mergeCell ref="A16:A17"/>
    <mergeCell ref="C16:C17"/>
    <mergeCell ref="A28:A32"/>
    <mergeCell ref="A33:A34"/>
    <mergeCell ref="A44:A46"/>
    <mergeCell ref="A18:A26"/>
    <mergeCell ref="B18:B26"/>
    <mergeCell ref="C18:C26"/>
    <mergeCell ref="B44:B46"/>
    <mergeCell ref="C44:C46"/>
    <mergeCell ref="B28:B32"/>
    <mergeCell ref="C28:C32"/>
    <mergeCell ref="D18:D26"/>
    <mergeCell ref="D28:D32"/>
    <mergeCell ref="E13:E15"/>
    <mergeCell ref="D16:D17"/>
    <mergeCell ref="E16:E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selection activeCell="D15" sqref="D15:D19"/>
    </sheetView>
  </sheetViews>
  <sheetFormatPr defaultRowHeight="15.75" x14ac:dyDescent="0.25"/>
  <cols>
    <col min="1" max="1" width="3.85546875" style="65" bestFit="1" customWidth="1"/>
    <col min="2" max="2" width="21.28515625" style="37" customWidth="1"/>
    <col min="3" max="3" width="14.5703125" style="37" customWidth="1"/>
    <col min="4" max="4" width="30.5703125" style="37" customWidth="1"/>
    <col min="5" max="5" width="39" style="37" customWidth="1"/>
    <col min="6" max="16384" width="9.140625" style="37"/>
  </cols>
  <sheetData>
    <row r="1" spans="1:5" s="1" customFormat="1" ht="16.5" thickBot="1" x14ac:dyDescent="0.3">
      <c r="A1" s="60"/>
      <c r="B1" s="2" t="s">
        <v>0</v>
      </c>
      <c r="C1" s="2" t="s">
        <v>1</v>
      </c>
      <c r="D1" s="2" t="s">
        <v>104</v>
      </c>
      <c r="E1" s="2" t="s">
        <v>70</v>
      </c>
    </row>
    <row r="2" spans="1:5" ht="18" thickBot="1" x14ac:dyDescent="0.3">
      <c r="A2" s="65">
        <v>1</v>
      </c>
      <c r="B2" s="38" t="s">
        <v>81</v>
      </c>
      <c r="C2" s="39" t="s">
        <v>158</v>
      </c>
      <c r="D2" s="38" t="str">
        <f>"4,47"</f>
        <v>4,47</v>
      </c>
      <c r="E2" s="40" t="s">
        <v>159</v>
      </c>
    </row>
    <row r="3" spans="1:5" ht="17.25" x14ac:dyDescent="0.25">
      <c r="A3" s="66">
        <v>2</v>
      </c>
      <c r="B3" s="41" t="s">
        <v>6</v>
      </c>
      <c r="C3" s="42" t="s">
        <v>3</v>
      </c>
      <c r="D3" s="41" t="str">
        <f>"3"</f>
        <v>3</v>
      </c>
      <c r="E3" s="43" t="s">
        <v>160</v>
      </c>
    </row>
    <row r="4" spans="1:5" ht="17.25" x14ac:dyDescent="0.25">
      <c r="A4" s="67"/>
      <c r="B4" s="44"/>
      <c r="C4" s="45"/>
      <c r="D4" s="44"/>
      <c r="E4" s="46" t="s">
        <v>35</v>
      </c>
    </row>
    <row r="5" spans="1:5" ht="17.25" x14ac:dyDescent="0.25">
      <c r="A5" s="67"/>
      <c r="B5" s="44"/>
      <c r="C5" s="45"/>
      <c r="D5" s="44"/>
      <c r="E5" s="47" t="s">
        <v>124</v>
      </c>
    </row>
    <row r="6" spans="1:5" ht="17.25" x14ac:dyDescent="0.25">
      <c r="A6" s="67"/>
      <c r="B6" s="44"/>
      <c r="C6" s="45"/>
      <c r="D6" s="44"/>
      <c r="E6" s="47" t="s">
        <v>125</v>
      </c>
    </row>
    <row r="7" spans="1:5" ht="17.25" x14ac:dyDescent="0.25">
      <c r="A7" s="67"/>
      <c r="B7" s="44"/>
      <c r="C7" s="45"/>
      <c r="D7" s="44"/>
      <c r="E7" s="47" t="s">
        <v>126</v>
      </c>
    </row>
    <row r="8" spans="1:5" ht="17.25" x14ac:dyDescent="0.25">
      <c r="A8" s="67"/>
      <c r="B8" s="44"/>
      <c r="C8" s="45"/>
      <c r="D8" s="44"/>
      <c r="E8" s="47" t="s">
        <v>127</v>
      </c>
    </row>
    <row r="9" spans="1:5" ht="17.25" x14ac:dyDescent="0.25">
      <c r="A9" s="67"/>
      <c r="B9" s="44"/>
      <c r="C9" s="45"/>
      <c r="D9" s="44"/>
      <c r="E9" s="47" t="s">
        <v>128</v>
      </c>
    </row>
    <row r="10" spans="1:5" ht="17.25" x14ac:dyDescent="0.25">
      <c r="A10" s="67"/>
      <c r="B10" s="44"/>
      <c r="C10" s="45"/>
      <c r="D10" s="44"/>
      <c r="E10" s="47" t="s">
        <v>129</v>
      </c>
    </row>
    <row r="11" spans="1:5" ht="17.25" x14ac:dyDescent="0.25">
      <c r="A11" s="67"/>
      <c r="B11" s="44"/>
      <c r="C11" s="45"/>
      <c r="D11" s="44"/>
      <c r="E11" s="47" t="s">
        <v>130</v>
      </c>
    </row>
    <row r="12" spans="1:5" ht="18" thickBot="1" x14ac:dyDescent="0.3">
      <c r="A12" s="68"/>
      <c r="B12" s="48"/>
      <c r="C12" s="49"/>
      <c r="D12" s="48"/>
      <c r="E12" s="50" t="s">
        <v>131</v>
      </c>
    </row>
    <row r="13" spans="1:5" ht="17.25" x14ac:dyDescent="0.25">
      <c r="A13" s="66">
        <v>3</v>
      </c>
      <c r="B13" s="51" t="s">
        <v>161</v>
      </c>
      <c r="C13" s="42" t="s">
        <v>3</v>
      </c>
      <c r="D13" s="41" t="str">
        <f>"1"</f>
        <v>1</v>
      </c>
      <c r="E13" s="43" t="s">
        <v>36</v>
      </c>
    </row>
    <row r="14" spans="1:5" ht="18" thickBot="1" x14ac:dyDescent="0.3">
      <c r="A14" s="67"/>
      <c r="B14" s="47" t="s">
        <v>10</v>
      </c>
      <c r="C14" s="45"/>
      <c r="D14" s="44"/>
      <c r="E14" s="52" t="s">
        <v>172</v>
      </c>
    </row>
    <row r="15" spans="1:5" ht="17.25" x14ac:dyDescent="0.25">
      <c r="A15" s="66">
        <v>4</v>
      </c>
      <c r="B15" s="41" t="s">
        <v>84</v>
      </c>
      <c r="C15" s="42" t="s">
        <v>3</v>
      </c>
      <c r="D15" s="41" t="s">
        <v>132</v>
      </c>
      <c r="E15" s="43" t="s">
        <v>40</v>
      </c>
    </row>
    <row r="16" spans="1:5" ht="17.25" x14ac:dyDescent="0.25">
      <c r="A16" s="67"/>
      <c r="B16" s="44"/>
      <c r="C16" s="45"/>
      <c r="D16" s="44"/>
      <c r="E16" s="46" t="s">
        <v>38</v>
      </c>
    </row>
    <row r="17" spans="1:5" ht="17.25" x14ac:dyDescent="0.25">
      <c r="A17" s="67"/>
      <c r="B17" s="44"/>
      <c r="C17" s="45"/>
      <c r="D17" s="44"/>
      <c r="E17" s="56" t="s">
        <v>41</v>
      </c>
    </row>
    <row r="18" spans="1:5" ht="17.25" x14ac:dyDescent="0.25">
      <c r="A18" s="67"/>
      <c r="B18" s="44"/>
      <c r="C18" s="45"/>
      <c r="D18" s="44"/>
      <c r="E18" s="56" t="s">
        <v>42</v>
      </c>
    </row>
    <row r="19" spans="1:5" ht="18" thickBot="1" x14ac:dyDescent="0.3">
      <c r="A19" s="68"/>
      <c r="B19" s="48"/>
      <c r="C19" s="49"/>
      <c r="D19" s="48"/>
      <c r="E19" s="57" t="s">
        <v>43</v>
      </c>
    </row>
    <row r="20" spans="1:5" ht="45.75" customHeight="1" x14ac:dyDescent="0.25">
      <c r="A20" s="66">
        <v>5</v>
      </c>
      <c r="B20" s="51" t="s">
        <v>15</v>
      </c>
      <c r="C20" s="42" t="s">
        <v>3</v>
      </c>
      <c r="D20" s="41" t="str">
        <f>"1000"</f>
        <v>1000</v>
      </c>
      <c r="E20" s="53" t="s">
        <v>85</v>
      </c>
    </row>
    <row r="21" spans="1:5" ht="16.5" thickBot="1" x14ac:dyDescent="0.3">
      <c r="A21" s="68"/>
      <c r="B21" s="50" t="s">
        <v>16</v>
      </c>
      <c r="C21" s="49"/>
      <c r="D21" s="48"/>
      <c r="E21" s="55"/>
    </row>
    <row r="22" spans="1:5" ht="30.75" thickBot="1" x14ac:dyDescent="0.3">
      <c r="A22" s="69">
        <v>6</v>
      </c>
      <c r="B22" s="38" t="s">
        <v>162</v>
      </c>
      <c r="C22" s="39" t="s">
        <v>3</v>
      </c>
      <c r="D22" s="38" t="s">
        <v>163</v>
      </c>
      <c r="E22" s="40" t="s">
        <v>164</v>
      </c>
    </row>
    <row r="23" spans="1:5" ht="17.25" x14ac:dyDescent="0.25">
      <c r="A23" s="66">
        <v>7</v>
      </c>
      <c r="B23" s="41" t="s">
        <v>19</v>
      </c>
      <c r="C23" s="42" t="s">
        <v>3</v>
      </c>
      <c r="D23" s="41" t="s">
        <v>134</v>
      </c>
      <c r="E23" s="43" t="s">
        <v>50</v>
      </c>
    </row>
    <row r="24" spans="1:5" ht="17.25" x14ac:dyDescent="0.25">
      <c r="A24" s="67"/>
      <c r="B24" s="44"/>
      <c r="C24" s="45"/>
      <c r="D24" s="44"/>
      <c r="E24" s="46" t="s">
        <v>35</v>
      </c>
    </row>
    <row r="25" spans="1:5" ht="17.25" x14ac:dyDescent="0.25">
      <c r="A25" s="67"/>
      <c r="B25" s="44"/>
      <c r="C25" s="45"/>
      <c r="D25" s="44"/>
      <c r="E25" s="56" t="s">
        <v>51</v>
      </c>
    </row>
    <row r="26" spans="1:5" ht="18" thickBot="1" x14ac:dyDescent="0.3">
      <c r="A26" s="68"/>
      <c r="B26" s="48"/>
      <c r="C26" s="49"/>
      <c r="D26" s="48"/>
      <c r="E26" s="57" t="s">
        <v>52</v>
      </c>
    </row>
    <row r="27" spans="1:5" ht="17.25" x14ac:dyDescent="0.25">
      <c r="A27" s="66">
        <v>8</v>
      </c>
      <c r="B27" s="41" t="s">
        <v>21</v>
      </c>
      <c r="C27" s="42" t="s">
        <v>3</v>
      </c>
      <c r="D27" s="41" t="str">
        <f>"5"</f>
        <v>5</v>
      </c>
      <c r="E27" s="43" t="s">
        <v>165</v>
      </c>
    </row>
    <row r="28" spans="1:5" ht="35.25" thickBot="1" x14ac:dyDescent="0.3">
      <c r="A28" s="68"/>
      <c r="B28" s="48"/>
      <c r="C28" s="49"/>
      <c r="D28" s="48"/>
      <c r="E28" s="54" t="s">
        <v>166</v>
      </c>
    </row>
    <row r="29" spans="1:5" ht="17.25" x14ac:dyDescent="0.25">
      <c r="A29" s="66">
        <v>9</v>
      </c>
      <c r="B29" s="41" t="s">
        <v>22</v>
      </c>
      <c r="C29" s="42" t="s">
        <v>28</v>
      </c>
      <c r="D29" s="41" t="s">
        <v>133</v>
      </c>
      <c r="E29" s="43" t="s">
        <v>55</v>
      </c>
    </row>
    <row r="30" spans="1:5" ht="17.25" x14ac:dyDescent="0.25">
      <c r="A30" s="67"/>
      <c r="B30" s="44"/>
      <c r="C30" s="45"/>
      <c r="D30" s="44"/>
      <c r="E30" s="46" t="s">
        <v>38</v>
      </c>
    </row>
    <row r="31" spans="1:5" ht="17.25" x14ac:dyDescent="0.25">
      <c r="A31" s="67"/>
      <c r="B31" s="44"/>
      <c r="C31" s="45"/>
      <c r="D31" s="44"/>
      <c r="E31" s="56" t="s">
        <v>56</v>
      </c>
    </row>
    <row r="32" spans="1:5" ht="18" thickBot="1" x14ac:dyDescent="0.3">
      <c r="A32" s="68"/>
      <c r="B32" s="48"/>
      <c r="C32" s="49"/>
      <c r="D32" s="48"/>
      <c r="E32" s="57" t="s">
        <v>57</v>
      </c>
    </row>
    <row r="33" spans="1:5" ht="18" thickBot="1" x14ac:dyDescent="0.3">
      <c r="A33" s="69">
        <v>11</v>
      </c>
      <c r="B33" s="38" t="s">
        <v>97</v>
      </c>
      <c r="C33" s="39" t="s">
        <v>28</v>
      </c>
      <c r="D33" s="38" t="s">
        <v>133</v>
      </c>
      <c r="E33" s="40" t="s">
        <v>98</v>
      </c>
    </row>
    <row r="34" spans="1:5" ht="18" thickBot="1" x14ac:dyDescent="0.3">
      <c r="A34" s="69">
        <v>12</v>
      </c>
      <c r="B34" s="38" t="s">
        <v>100</v>
      </c>
      <c r="C34" s="39" t="s">
        <v>5</v>
      </c>
      <c r="D34" s="38" t="str">
        <f>"Заголовок"</f>
        <v>Заголовок</v>
      </c>
      <c r="E34" s="40" t="s">
        <v>101</v>
      </c>
    </row>
    <row r="35" spans="1:5" ht="18" thickBot="1" x14ac:dyDescent="0.3">
      <c r="A35" s="69">
        <v>13</v>
      </c>
      <c r="B35" s="38" t="s">
        <v>25</v>
      </c>
      <c r="C35" s="39" t="s">
        <v>3</v>
      </c>
      <c r="D35" s="38" t="str">
        <f>"4"</f>
        <v>4</v>
      </c>
      <c r="E35" s="40" t="s">
        <v>167</v>
      </c>
    </row>
    <row r="36" spans="1:5" ht="34.5" x14ac:dyDescent="0.25">
      <c r="A36" s="66">
        <v>14</v>
      </c>
      <c r="B36" s="41" t="s">
        <v>168</v>
      </c>
      <c r="C36" s="42" t="s">
        <v>3</v>
      </c>
      <c r="D36" s="41" t="str">
        <f>"0"</f>
        <v>0</v>
      </c>
      <c r="E36" s="43" t="s">
        <v>173</v>
      </c>
    </row>
    <row r="37" spans="1:5" ht="17.25" x14ac:dyDescent="0.25">
      <c r="A37" s="67"/>
      <c r="B37" s="44"/>
      <c r="C37" s="45"/>
      <c r="D37" s="44"/>
      <c r="E37" s="46" t="s">
        <v>38</v>
      </c>
    </row>
    <row r="38" spans="1:5" ht="17.25" x14ac:dyDescent="0.25">
      <c r="A38" s="67"/>
      <c r="B38" s="44"/>
      <c r="C38" s="45"/>
      <c r="D38" s="44"/>
      <c r="E38" s="56" t="s">
        <v>169</v>
      </c>
    </row>
    <row r="39" spans="1:5" ht="18" thickBot="1" x14ac:dyDescent="0.3">
      <c r="A39" s="68"/>
      <c r="B39" s="48"/>
      <c r="C39" s="49"/>
      <c r="D39" s="48"/>
      <c r="E39" s="57" t="s">
        <v>170</v>
      </c>
    </row>
    <row r="40" spans="1:5" ht="17.25" x14ac:dyDescent="0.25">
      <c r="A40" s="66">
        <v>15</v>
      </c>
      <c r="B40" s="41" t="s">
        <v>30</v>
      </c>
      <c r="C40" s="42" t="s">
        <v>3</v>
      </c>
      <c r="D40" s="41" t="s">
        <v>133</v>
      </c>
      <c r="E40" s="43" t="s">
        <v>65</v>
      </c>
    </row>
    <row r="41" spans="1:5" ht="17.25" x14ac:dyDescent="0.25">
      <c r="A41" s="67"/>
      <c r="B41" s="44"/>
      <c r="C41" s="45"/>
      <c r="D41" s="44"/>
      <c r="E41" s="46" t="s">
        <v>38</v>
      </c>
    </row>
    <row r="42" spans="1:5" ht="17.25" x14ac:dyDescent="0.25">
      <c r="A42" s="67"/>
      <c r="B42" s="44"/>
      <c r="C42" s="45"/>
      <c r="D42" s="44"/>
      <c r="E42" s="56" t="s">
        <v>66</v>
      </c>
    </row>
    <row r="43" spans="1:5" ht="18" thickBot="1" x14ac:dyDescent="0.3">
      <c r="A43" s="68"/>
      <c r="B43" s="48"/>
      <c r="C43" s="49"/>
      <c r="D43" s="48"/>
      <c r="E43" s="57" t="s">
        <v>67</v>
      </c>
    </row>
    <row r="44" spans="1:5" ht="17.25" x14ac:dyDescent="0.25">
      <c r="A44" s="66">
        <v>16</v>
      </c>
      <c r="B44" s="41" t="s">
        <v>31</v>
      </c>
      <c r="C44" s="42" t="s">
        <v>171</v>
      </c>
      <c r="D44" s="41" t="s">
        <v>135</v>
      </c>
      <c r="E44" s="43" t="s">
        <v>68</v>
      </c>
    </row>
    <row r="45" spans="1:5" ht="69.75" thickBot="1" x14ac:dyDescent="0.3">
      <c r="A45" s="68"/>
      <c r="B45" s="48"/>
      <c r="C45" s="49"/>
      <c r="D45" s="48"/>
      <c r="E45" s="58" t="s">
        <v>69</v>
      </c>
    </row>
  </sheetData>
  <mergeCells count="39">
    <mergeCell ref="A40:A43"/>
    <mergeCell ref="A44:A45"/>
    <mergeCell ref="A20:A21"/>
    <mergeCell ref="C20:C21"/>
    <mergeCell ref="A23:A26"/>
    <mergeCell ref="A27:A28"/>
    <mergeCell ref="A29:A32"/>
    <mergeCell ref="A36:A39"/>
    <mergeCell ref="B44:B45"/>
    <mergeCell ref="C44:C45"/>
    <mergeCell ref="D44:D45"/>
    <mergeCell ref="A3:A12"/>
    <mergeCell ref="A13:A14"/>
    <mergeCell ref="C13:C14"/>
    <mergeCell ref="A15:A19"/>
    <mergeCell ref="B36:B39"/>
    <mergeCell ref="C36:C39"/>
    <mergeCell ref="D36:D39"/>
    <mergeCell ref="B40:B43"/>
    <mergeCell ref="C40:C43"/>
    <mergeCell ref="D40:D43"/>
    <mergeCell ref="B27:B28"/>
    <mergeCell ref="C27:C28"/>
    <mergeCell ref="D27:D28"/>
    <mergeCell ref="B29:B32"/>
    <mergeCell ref="C29:C32"/>
    <mergeCell ref="D29:D32"/>
    <mergeCell ref="D20:D21"/>
    <mergeCell ref="E20:E21"/>
    <mergeCell ref="B23:B26"/>
    <mergeCell ref="C23:C26"/>
    <mergeCell ref="D23:D26"/>
    <mergeCell ref="B15:B19"/>
    <mergeCell ref="C15:C19"/>
    <mergeCell ref="D15:D19"/>
    <mergeCell ref="B3:B12"/>
    <mergeCell ref="C3:C12"/>
    <mergeCell ref="D3:D12"/>
    <mergeCell ref="D13:D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E1" sqref="E1"/>
    </sheetView>
  </sheetViews>
  <sheetFormatPr defaultRowHeight="15.75" x14ac:dyDescent="0.25"/>
  <cols>
    <col min="1" max="1" width="3.85546875" style="65" bestFit="1" customWidth="1"/>
    <col min="2" max="2" width="20.7109375" style="22" customWidth="1"/>
    <col min="3" max="3" width="22" style="22" customWidth="1"/>
    <col min="4" max="4" width="20.28515625" style="22" customWidth="1"/>
    <col min="5" max="5" width="36.85546875" style="22" customWidth="1"/>
    <col min="6" max="16384" width="9.140625" style="22"/>
  </cols>
  <sheetData>
    <row r="1" spans="1:5" s="20" customFormat="1" ht="16.5" thickBot="1" x14ac:dyDescent="0.3">
      <c r="A1" s="60"/>
      <c r="B1" s="21" t="s">
        <v>0</v>
      </c>
      <c r="C1" s="21" t="s">
        <v>1</v>
      </c>
      <c r="D1" s="21" t="s">
        <v>104</v>
      </c>
      <c r="E1" s="21" t="s">
        <v>70</v>
      </c>
    </row>
    <row r="2" spans="1:5" ht="18" thickBot="1" x14ac:dyDescent="0.3">
      <c r="A2" s="65">
        <v>1</v>
      </c>
      <c r="B2" s="23" t="s">
        <v>81</v>
      </c>
      <c r="C2" s="24" t="s">
        <v>158</v>
      </c>
      <c r="D2" s="23" t="str">
        <f>"4,47"</f>
        <v>4,47</v>
      </c>
      <c r="E2" s="25" t="s">
        <v>174</v>
      </c>
    </row>
    <row r="3" spans="1:5" ht="18" thickBot="1" x14ac:dyDescent="0.3">
      <c r="A3" s="69">
        <v>2</v>
      </c>
      <c r="B3" s="23" t="s">
        <v>175</v>
      </c>
      <c r="C3" s="24" t="s">
        <v>3</v>
      </c>
      <c r="D3" s="23" t="str">
        <f>"4"</f>
        <v>4</v>
      </c>
      <c r="E3" s="25" t="s">
        <v>176</v>
      </c>
    </row>
    <row r="4" spans="1:5" ht="18" thickBot="1" x14ac:dyDescent="0.3">
      <c r="A4" s="69">
        <v>3</v>
      </c>
      <c r="B4" s="23" t="s">
        <v>161</v>
      </c>
      <c r="C4" s="24" t="s">
        <v>3</v>
      </c>
      <c r="D4" s="23" t="str">
        <f>"1"</f>
        <v>1</v>
      </c>
      <c r="E4" s="25" t="s">
        <v>177</v>
      </c>
    </row>
    <row r="5" spans="1:5" ht="18" thickBot="1" x14ac:dyDescent="0.3">
      <c r="A5" s="69">
        <v>4</v>
      </c>
      <c r="B5" s="23" t="s">
        <v>178</v>
      </c>
      <c r="C5" s="24" t="s">
        <v>3</v>
      </c>
      <c r="D5" s="23" t="str">
        <f>"1239"</f>
        <v>1239</v>
      </c>
      <c r="E5" s="25" t="s">
        <v>179</v>
      </c>
    </row>
    <row r="6" spans="1:5" ht="18" thickBot="1" x14ac:dyDescent="0.3">
      <c r="A6" s="69">
        <v>5</v>
      </c>
      <c r="B6" s="23" t="s">
        <v>180</v>
      </c>
      <c r="C6" s="24" t="s">
        <v>158</v>
      </c>
      <c r="D6" s="23" t="str">
        <f>"1239,1188"</f>
        <v>1239,1188</v>
      </c>
      <c r="E6" s="25" t="s">
        <v>181</v>
      </c>
    </row>
    <row r="7" spans="1:5" ht="17.25" x14ac:dyDescent="0.25">
      <c r="A7" s="66">
        <v>6</v>
      </c>
      <c r="B7" s="26" t="s">
        <v>182</v>
      </c>
      <c r="C7" s="27" t="s">
        <v>3</v>
      </c>
      <c r="D7" s="26" t="str">
        <f>"1"</f>
        <v>1</v>
      </c>
      <c r="E7" s="28" t="s">
        <v>183</v>
      </c>
    </row>
    <row r="8" spans="1:5" ht="17.25" x14ac:dyDescent="0.25">
      <c r="A8" s="67"/>
      <c r="B8" s="29"/>
      <c r="C8" s="30"/>
      <c r="D8" s="29"/>
      <c r="E8" s="31" t="s">
        <v>35</v>
      </c>
    </row>
    <row r="9" spans="1:5" ht="17.25" x14ac:dyDescent="0.25">
      <c r="A9" s="67"/>
      <c r="B9" s="29"/>
      <c r="C9" s="30"/>
      <c r="D9" s="29"/>
      <c r="E9" s="34" t="s">
        <v>184</v>
      </c>
    </row>
    <row r="10" spans="1:5" ht="17.25" x14ac:dyDescent="0.25">
      <c r="A10" s="67"/>
      <c r="B10" s="29"/>
      <c r="C10" s="30"/>
      <c r="D10" s="29"/>
      <c r="E10" s="34" t="s">
        <v>185</v>
      </c>
    </row>
    <row r="11" spans="1:5" ht="17.25" x14ac:dyDescent="0.25">
      <c r="A11" s="67"/>
      <c r="B11" s="29"/>
      <c r="C11" s="30"/>
      <c r="D11" s="29"/>
      <c r="E11" s="34" t="s">
        <v>186</v>
      </c>
    </row>
    <row r="12" spans="1:5" ht="18" thickBot="1" x14ac:dyDescent="0.3">
      <c r="A12" s="68"/>
      <c r="B12" s="32"/>
      <c r="C12" s="33"/>
      <c r="D12" s="32"/>
      <c r="E12" s="35" t="s">
        <v>187</v>
      </c>
    </row>
    <row r="13" spans="1:5" ht="18" thickBot="1" x14ac:dyDescent="0.3">
      <c r="A13" s="69">
        <v>7</v>
      </c>
      <c r="B13" s="23" t="s">
        <v>188</v>
      </c>
      <c r="C13" s="24" t="s">
        <v>3</v>
      </c>
      <c r="D13" s="23" t="str">
        <f>"19"</f>
        <v>19</v>
      </c>
      <c r="E13" s="25" t="s">
        <v>189</v>
      </c>
    </row>
    <row r="14" spans="1:5" ht="18" thickBot="1" x14ac:dyDescent="0.3">
      <c r="A14" s="69">
        <v>8</v>
      </c>
      <c r="B14" s="23" t="s">
        <v>20</v>
      </c>
      <c r="C14" s="24" t="s">
        <v>158</v>
      </c>
      <c r="D14" s="23" t="str">
        <f>"19,22"</f>
        <v>19,22</v>
      </c>
      <c r="E14" s="25" t="s">
        <v>190</v>
      </c>
    </row>
    <row r="15" spans="1:5" ht="17.25" x14ac:dyDescent="0.25">
      <c r="A15" s="66">
        <v>9</v>
      </c>
      <c r="B15" s="26" t="s">
        <v>191</v>
      </c>
      <c r="C15" s="27" t="s">
        <v>5</v>
      </c>
      <c r="D15" s="26" t="str">
        <f>"countrylist"</f>
        <v>countrylist</v>
      </c>
      <c r="E15" s="28" t="s">
        <v>192</v>
      </c>
    </row>
    <row r="16" spans="1:5" ht="17.25" x14ac:dyDescent="0.25">
      <c r="A16" s="67"/>
      <c r="B16" s="29"/>
      <c r="C16" s="30"/>
      <c r="D16" s="29"/>
      <c r="E16" s="31" t="s">
        <v>38</v>
      </c>
    </row>
    <row r="17" spans="1:5" ht="17.25" x14ac:dyDescent="0.25">
      <c r="A17" s="67"/>
      <c r="B17" s="29"/>
      <c r="C17" s="30"/>
      <c r="D17" s="29"/>
      <c r="E17" s="34" t="s">
        <v>194</v>
      </c>
    </row>
    <row r="18" spans="1:5" ht="17.25" x14ac:dyDescent="0.25">
      <c r="A18" s="67"/>
      <c r="B18" s="29"/>
      <c r="C18" s="30"/>
      <c r="D18" s="29"/>
      <c r="E18" s="34" t="s">
        <v>195</v>
      </c>
    </row>
    <row r="19" spans="1:5" ht="17.25" x14ac:dyDescent="0.25">
      <c r="A19" s="67"/>
      <c r="B19" s="29"/>
      <c r="C19" s="30"/>
      <c r="D19" s="29"/>
      <c r="E19" s="34" t="s">
        <v>196</v>
      </c>
    </row>
    <row r="20" spans="1:5" ht="17.25" x14ac:dyDescent="0.25">
      <c r="A20" s="67"/>
      <c r="B20" s="29"/>
      <c r="C20" s="30"/>
      <c r="D20" s="29"/>
      <c r="E20" s="34" t="s">
        <v>197</v>
      </c>
    </row>
    <row r="21" spans="1:5" ht="17.25" x14ac:dyDescent="0.25">
      <c r="A21" s="67"/>
      <c r="B21" s="29"/>
      <c r="C21" s="30"/>
      <c r="D21" s="29"/>
      <c r="E21" s="34" t="s">
        <v>198</v>
      </c>
    </row>
    <row r="22" spans="1:5" ht="18" thickBot="1" x14ac:dyDescent="0.3">
      <c r="A22" s="68"/>
      <c r="B22" s="32"/>
      <c r="C22" s="33"/>
      <c r="D22" s="32"/>
      <c r="E22" s="35" t="s">
        <v>199</v>
      </c>
    </row>
    <row r="23" spans="1:5" ht="17.25" x14ac:dyDescent="0.25">
      <c r="A23" s="66">
        <v>10</v>
      </c>
      <c r="B23" s="26" t="s">
        <v>31</v>
      </c>
      <c r="C23" s="27" t="s">
        <v>171</v>
      </c>
      <c r="D23" s="26" t="s">
        <v>135</v>
      </c>
      <c r="E23" s="28" t="s">
        <v>193</v>
      </c>
    </row>
    <row r="24" spans="1:5" ht="69.75" thickBot="1" x14ac:dyDescent="0.3">
      <c r="A24" s="68"/>
      <c r="B24" s="32"/>
      <c r="C24" s="33"/>
      <c r="D24" s="32"/>
      <c r="E24" s="36" t="s">
        <v>69</v>
      </c>
    </row>
    <row r="25" spans="1:5" ht="52.5" thickBot="1" x14ac:dyDescent="0.3">
      <c r="A25" s="69">
        <v>11</v>
      </c>
      <c r="B25" s="59" t="s">
        <v>88</v>
      </c>
      <c r="C25" s="24" t="s">
        <v>3</v>
      </c>
      <c r="D25" s="23" t="s">
        <v>133</v>
      </c>
      <c r="E25" s="25" t="s">
        <v>200</v>
      </c>
    </row>
  </sheetData>
  <mergeCells count="12">
    <mergeCell ref="A23:A24"/>
    <mergeCell ref="B23:B24"/>
    <mergeCell ref="C23:C24"/>
    <mergeCell ref="D23:D24"/>
    <mergeCell ref="A7:A12"/>
    <mergeCell ref="B7:B12"/>
    <mergeCell ref="C7:C12"/>
    <mergeCell ref="D7:D12"/>
    <mergeCell ref="A15:A22"/>
    <mergeCell ref="B15:B22"/>
    <mergeCell ref="C15:C22"/>
    <mergeCell ref="D15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Горящие туры</vt:lpstr>
      <vt:lpstr>Минимальные цены</vt:lpstr>
      <vt:lpstr>Календарь туров</vt:lpstr>
      <vt:lpstr>Каталог стран и отелей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2024-12-04T07:11:20Z</dcterms:modified>
</cp:coreProperties>
</file>